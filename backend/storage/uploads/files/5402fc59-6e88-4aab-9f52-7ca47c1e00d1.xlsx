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iff\OneDrive\Documents\"/>
    </mc:Choice>
  </mc:AlternateContent>
  <xr:revisionPtr revIDLastSave="0" documentId="13_ncr:1_{E7B72770-5017-42D9-B04E-1147907CC16A}" xr6:coauthVersionLast="47" xr6:coauthVersionMax="47" xr10:uidLastSave="{00000000-0000-0000-0000-000000000000}"/>
  <bookViews>
    <workbookView xWindow="-108" yWindow="-108" windowWidth="23256" windowHeight="12456" xr2:uid="{7C72ED30-292A-4E1B-8B93-3F4A7D0EF68F}"/>
  </bookViews>
  <sheets>
    <sheet name="Sheet1" sheetId="1" r:id="rId1"/>
  </sheets>
  <calcPr calcId="191029"/>
  <pivotCaches>
    <pivotCache cacheId="0" r:id="rId2"/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C48" i="1"/>
  <c r="C47" i="1"/>
  <c r="C46" i="1"/>
  <c r="C45" i="1"/>
  <c r="C44" i="1"/>
  <c r="C43" i="1"/>
  <c r="C42" i="1"/>
  <c r="C41" i="1"/>
  <c r="D31" i="1"/>
  <c r="D30" i="1"/>
  <c r="D29" i="1"/>
  <c r="D28" i="1"/>
  <c r="D27" i="1"/>
  <c r="D26" i="1"/>
  <c r="D25" i="1"/>
  <c r="D12" i="1"/>
  <c r="D11" i="1"/>
  <c r="D10" i="1"/>
  <c r="D9" i="1"/>
  <c r="D8" i="1"/>
  <c r="D7" i="1"/>
  <c r="D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31305-4630-4392-896D-A783446261BD}" sourceFile="D:\Documents and Settings\PKMACCT\My Documents\Assignment Usage.cub" keepAlive="1" name="Assignment Usage" type="5" refreshedVersion="7">
    <dbPr connection="Provider=MSOLAP.2;Persist Security Info=True;Data Source=D:\Documents and Settings\PKMACCT\My Documents\Assignment Usage.cub;Client Cache Size=25;Auto Synch Period=10000" command="ProjectReport" commandType="1"/>
    <olapPr local="1" localConnection="Provider=MSOLAP.8;Persist Security Info=True;Data Source=C:\Users\ZEEEINZ\AppData\Local\Temp\VisualReportsTemporaryData\{04ec3e0b-d99e-f011-a241-6c626d3f0ada}\AssignmentTP.cub;MDX Compatibility=1;Safety Options=2;MDX Missing Member Mode=Error;Update Isolation Level=2" rowDrillCount="1000" serverFill="0" serverNumberFormat="0" serverFont="0" serverFontColor="0"/>
  </connection>
  <connection id="2" xr16:uid="{1FF31305-4630-4392-896D-A783446261BD}" sourceFile="D:\Documents and Settings\PKMACCT\My Documents\Assignment Usage.cub" keepAlive="1" name="Assignment Usage1" type="5" refreshedVersion="7">
    <dbPr connection="Provider=MSOLAP.2;Persist Security Info=True;Data Source=D:\Documents and Settings\PKMACCT\My Documents\Assignment Usage.cub;Client Cache Size=25;Auto Synch Period=10000" command="ProjectReport" commandType="1"/>
    <olapPr local="1" localConnection="Provider=MSOLAP.8;Persist Security Info=True;Data Source=C:\Users\ZEEEINZ\AppData\Local\Temp\VisualReportsTemporaryData\{04ec3e0b-d99e-f011-a241-6c626d3f0ada}\AssignmentTP.cub;MDX Compatibility=1;Safety Options=2;MDX Missing Member Mode=Error;Update Isolation Level=2" rowDrillCount="1000" serverFill="0" serverNumberFormat="0" serverFont="0" serverFontColor="0"/>
  </connection>
</connections>
</file>

<file path=xl/sharedStrings.xml><?xml version="1.0" encoding="utf-8"?>
<sst xmlns="http://schemas.openxmlformats.org/spreadsheetml/2006/main" count="41" uniqueCount="35">
  <si>
    <t xml:space="preserve">Task </t>
  </si>
  <si>
    <t>Task  1</t>
  </si>
  <si>
    <t>Year</t>
  </si>
  <si>
    <t>Implementasi Project WiFi Gratis Untuk Seluruh Area Kampus</t>
  </si>
  <si>
    <t>Requirement Analysis</t>
  </si>
  <si>
    <t>2024</t>
  </si>
  <si>
    <t>System Design</t>
  </si>
  <si>
    <t>Implementation</t>
  </si>
  <si>
    <t>Testing</t>
  </si>
  <si>
    <t>Deployment</t>
  </si>
  <si>
    <t>Implementasi Project WiFi Gratis Untuk Seluruh Area Kampus Total</t>
  </si>
  <si>
    <t>Grand Total</t>
  </si>
  <si>
    <t>Month</t>
  </si>
  <si>
    <t>April</t>
  </si>
  <si>
    <t>May</t>
  </si>
  <si>
    <t>June</t>
  </si>
  <si>
    <t>July</t>
  </si>
  <si>
    <t>August</t>
  </si>
  <si>
    <t>September</t>
  </si>
  <si>
    <t>Resources</t>
  </si>
  <si>
    <t>Project Manager</t>
  </si>
  <si>
    <t>Analyst</t>
  </si>
  <si>
    <t>Surveryor/Field</t>
  </si>
  <si>
    <t>Dokumentation/PR</t>
  </si>
  <si>
    <t>Network Engineer</t>
  </si>
  <si>
    <t>System Architect</t>
  </si>
  <si>
    <t>Technition</t>
  </si>
  <si>
    <t>Network Admin</t>
  </si>
  <si>
    <t>QA/Tester</t>
  </si>
  <si>
    <t>Total</t>
  </si>
  <si>
    <t xml:space="preserve"> ANGGARAN BIAYA PROJECT IMPLEMENTASI WiFi GRATIS DI SELURUH AREA KAMPUS</t>
  </si>
  <si>
    <t xml:space="preserve"> RINGKASAN PER PHASE</t>
  </si>
  <si>
    <t>RINGKASAN PER BULAN</t>
  </si>
  <si>
    <t>RINGKASAN PER RESOURCE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</si>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</sst>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pivotButton="1" applyBorder="1"/>
    <xf numFmtId="0" fontId="0" fillId="0" borderId="2" xfId="0" applyBorder="1"/>
    <xf numFmtId="42" fontId="0" fillId="0" borderId="2" xfId="0" applyNumberFormat="1" applyBorder="1"/>
    <xf numFmtId="42" fontId="0" fillId="2" borderId="2" xfId="0" applyNumberFormat="1" applyFill="1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/>
    <xf numFmtId="0" fontId="0" fillId="0" borderId="2" xfId="0" applyBorder="1" applyAlignment="1"/>
    <xf numFmtId="42" fontId="0" fillId="0" borderId="2" xfId="0" applyNumberFormat="1" applyBorder="1" applyAlignment="1"/>
    <xf numFmtId="42" fontId="0" fillId="2" borderId="2" xfId="0" applyNumberFormat="1" applyFill="1" applyBorder="1" applyAlignment="1"/>
    <xf numFmtId="0" fontId="0" fillId="3" borderId="0" xfId="0" applyFill="1" applyBorder="1"/>
    <xf numFmtId="0" fontId="0" fillId="0" borderId="0" xfId="0" applyFill="1" applyAlignment="1">
      <alignment horizontal="center"/>
    </xf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pivotButton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7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vertical="center"/>
    </dxf>
    <dxf>
      <alignment horizontal="general"/>
    </dxf>
    <dxf>
      <alignment horizont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bottom"/>
    </dxf>
    <dxf>
      <alignment horizontal="general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numFmt numFmtId="32" formatCode="_-&quot;Rp&quot;* #,##0_-;\-&quot;Rp&quot;* #,##0_-;_-&quot;Rp&quot;* &quot;-&quot;_-;_-@_-"/>
    </dxf>
    <dxf>
      <fill>
        <patternFill patternType="solid">
          <bgColor rgb="FFFFC000"/>
        </patternFill>
      </fill>
    </dxf>
    <dxf>
      <alignment horizontal="general"/>
    </dxf>
    <dxf>
      <alignment horizontal="general"/>
    </dxf>
    <dxf>
      <alignment horizontal="general"/>
    </dxf>
    <dxf>
      <alignment horizontal="left"/>
    </dxf>
    <dxf>
      <alignment horizontal="general"/>
    </dxf>
    <dxf>
      <alignment vertical="bottom"/>
    </dxf>
    <dxf>
      <alignment vertical="bottom"/>
    </dxf>
    <dxf>
      <alignment vertical="bottom"/>
    </dxf>
    <dxf>
      <alignment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rgb="FF00B050"/>
        </patternFill>
      </fill>
    </dxf>
    <dxf>
      <numFmt numFmtId="32" formatCode="_-&quot;Rp&quot;* #,##0_-;\-&quot;Rp&quot;* #,##0_-;_-&quot;Rp&quot;* &quot;-&quot;_-;_-@_-"/>
    </dxf>
    <dxf>
      <fill>
        <patternFill patternType="solid">
          <bgColor rgb="FFFFC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00B050"/>
        </patternFill>
      </fill>
    </dxf>
    <dxf>
      <numFmt numFmtId="32" formatCode="_-&quot;Rp&quot;* #,##0_-;\-&quot;Rp&quot;* #,##0_-;_-&quot;Rp&quot;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RAB IMPLEMENTASI PROJECT WIFI.xlsx]Sheet1!PivotTable1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Sheet1!$C$4:$C$5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Sheet1!$A$6:$B$12</c:f>
              <c:multiLvlStrCache>
                <c:ptCount val="5"/>
                <c:lvl>
                  <c:pt idx="0">
                    <c:v>Requirement Analysis</c:v>
                  </c:pt>
                  <c:pt idx="1">
                    <c:v>System Design</c:v>
                  </c:pt>
                  <c:pt idx="2">
                    <c:v>Implementation</c:v>
                  </c:pt>
                  <c:pt idx="3">
                    <c:v>Testing</c:v>
                  </c:pt>
                  <c:pt idx="4">
                    <c:v>Deployment</c:v>
                  </c:pt>
                </c:lvl>
                <c:lvl>
                  <c:pt idx="0">
                    <c:v>Implementasi Project WiFi Gratis Untuk Seluruh Area Kampus</c:v>
                  </c:pt>
                </c:lvl>
              </c:multiLvlStrCache>
            </c:multiLvlStrRef>
          </c:cat>
          <c:val>
            <c:numRef>
              <c:f>Sheet1!$C$6:$C$12</c:f>
              <c:numCache>
                <c:formatCode>_("Rp"* #,##0_);_("Rp"* \(#,##0\);_("Rp"* "-"_);_(@_)</c:formatCode>
                <c:ptCount val="5"/>
                <c:pt idx="0">
                  <c:v>41600000</c:v>
                </c:pt>
                <c:pt idx="1">
                  <c:v>28800000</c:v>
                </c:pt>
                <c:pt idx="2">
                  <c:v>150800000</c:v>
                </c:pt>
                <c:pt idx="3">
                  <c:v>40800000</c:v>
                </c:pt>
                <c:pt idx="4">
                  <c:v>82000000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6-40B8-85EB-9D3E8162E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0249087"/>
        <c:axId val="1630242015"/>
      </c:barChart>
      <c:catAx>
        <c:axId val="16302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42015"/>
        <c:crosses val="autoZero"/>
        <c:auto val="1"/>
        <c:lblAlgn val="ctr"/>
        <c:lblOffset val="100"/>
        <c:noMultiLvlLbl val="0"/>
      </c:catAx>
      <c:valAx>
        <c:axId val="163024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RAB IMPLEMENTASI PROJECT WIFI.xlsx]Sheet1!PivotTable2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Sheet1!$C$23:$C$24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D4F-4DC2-8B0C-ED7D8C707D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D4F-4DC2-8B0C-ED7D8C707D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D4F-4DC2-8B0C-ED7D8C707D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D4F-4DC2-8B0C-ED7D8C707D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D4F-4DC2-8B0C-ED7D8C707D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D4F-4DC2-8B0C-ED7D8C707D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Sheet1!$A$25:$B$31</c:f>
              <c:multiLvlStrCache>
                <c:ptCount val="6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Sheet1!$C$25:$C$31</c:f>
              <c:numCache>
                <c:formatCode>_("Rp"* #,##0_);_("Rp"* \(#,##0\);_("Rp"* "-"_);_(@_)</c:formatCode>
                <c:ptCount val="6"/>
                <c:pt idx="0">
                  <c:v>54400000</c:v>
                </c:pt>
                <c:pt idx="1">
                  <c:v>56800000</c:v>
                </c:pt>
                <c:pt idx="2">
                  <c:v>44000000</c:v>
                </c:pt>
                <c:pt idx="3">
                  <c:v>85200000</c:v>
                </c:pt>
                <c:pt idx="4">
                  <c:v>48400000</c:v>
                </c:pt>
                <c:pt idx="5">
                  <c:v>55200000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E-425F-99B1-9AAA0D66DCA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RAB IMPLEMENTASI PROJECT WIFI.xlsx]Sheet1!PivotTable4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Sheet1!$B$39:$B$40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Sheet1!$A$41:$A$50</c:f>
              <c:strCache>
                <c:ptCount val="9"/>
                <c:pt idx="0">
                  <c:v>Project Manager</c:v>
                </c:pt>
                <c:pt idx="1">
                  <c:v>Analyst</c:v>
                </c:pt>
                <c:pt idx="2">
                  <c:v>Surveryor/Field</c:v>
                </c:pt>
                <c:pt idx="3">
                  <c:v>Dokumentation/PR</c:v>
                </c:pt>
                <c:pt idx="4">
                  <c:v>Network Engineer</c:v>
                </c:pt>
                <c:pt idx="5">
                  <c:v>System Architect</c:v>
                </c:pt>
                <c:pt idx="6">
                  <c:v>Technition</c:v>
                </c:pt>
                <c:pt idx="7">
                  <c:v>Network Admin</c:v>
                </c:pt>
                <c:pt idx="8">
                  <c:v>QA/Tester</c:v>
                </c:pt>
              </c:strCache>
            </c:strRef>
          </c:cat>
          <c:val>
            <c:numRef>
              <c:f>Sheet1!$B$41:$B$50</c:f>
              <c:numCache>
                <c:formatCode>_("Rp"* #,##0_);_("Rp"* \(#,##0\);_("Rp"* "-"_);_(@_)</c:formatCode>
                <c:ptCount val="9"/>
                <c:pt idx="0">
                  <c:v>76000000</c:v>
                </c:pt>
                <c:pt idx="1">
                  <c:v>21600000</c:v>
                </c:pt>
                <c:pt idx="2">
                  <c:v>12000000</c:v>
                </c:pt>
                <c:pt idx="3">
                  <c:v>2000000</c:v>
                </c:pt>
                <c:pt idx="4">
                  <c:v>19200000</c:v>
                </c:pt>
                <c:pt idx="5">
                  <c:v>9600000</c:v>
                </c:pt>
                <c:pt idx="6">
                  <c:v>86000000</c:v>
                </c:pt>
                <c:pt idx="7">
                  <c:v>88800000</c:v>
                </c:pt>
                <c:pt idx="8">
                  <c:v>28800000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A2-4715-8F3D-9ED827C4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229663"/>
        <c:axId val="561240895"/>
      </c:lineChart>
      <c:catAx>
        <c:axId val="5612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40895"/>
        <c:crosses val="autoZero"/>
        <c:auto val="1"/>
        <c:lblAlgn val="ctr"/>
        <c:lblOffset val="100"/>
        <c:noMultiLvlLbl val="0"/>
      </c:catAx>
      <c:valAx>
        <c:axId val="5612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2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125729</xdr:colOff>
      <xdr:row>3</xdr:row>
      <xdr:rowOff>71436</xdr:rowOff>
    </xdr:from>
    <xdr:to>
      <xdr:col>10</xdr:col>
      <xdr:colOff>388620</xdr:colOff>
      <xdr:row>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DA3D71-7C47-45CF-8A17-01D1B762D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125730</xdr:colOff>
      <xdr:row>21</xdr:row>
      <xdr:rowOff>162877</xdr:rowOff>
    </xdr:from>
    <xdr:to>
      <xdr:col>10</xdr:col>
      <xdr:colOff>436245</xdr:colOff>
      <xdr:row>34</xdr:row>
      <xdr:rowOff>139065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549DFA-5B70-4DC8-913A-20604A9FB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38</xdr:row>
      <xdr:rowOff>37147</xdr:rowOff>
    </xdr:from>
    <xdr:to>
      <xdr:col>10</xdr:col>
      <xdr:colOff>472440</xdr:colOff>
      <xdr:row>52</xdr:row>
      <xdr:rowOff>105727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05870C-F6DF-4989-A77D-EB48F05B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! zeeeinz" refreshedDate="45931.946074537038" createdVersion="7" refreshedVersion="7" minRefreshableVersion="3" recordCount="0" supportSubquery="1" supportAdvancedDrill="1" xr:uid="{06200BFD-F87C-48AA-A2F5-253112E854A2}">
  <cacheSource type="external" connectionId="1"/>
  <cacheFields count="43">
    <cacheField name="[Measures].[Cost]" caption="Cost" numFmtId="0" hierarchy="76"/>
    <cacheField name="[Tasks].[Tasks].[Task ]" caption="Task " numFmtId="0" hierarchy="1" level="1" mappingCount="37">
      <sharedItems count="1">
        <s v="[Tasks].[Tasks].&amp;[{429E6492-829B-F011-9A4D-90E868D17355}]" c="Implementasi Project WiFi Gratis Untuk Seluruh Area Kampus" cp="37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</sharedItems>
      <mpMap v="4"/>
      <mpMap v="5"/>
      <mpMap v="6"/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</cacheField>
    <cacheField name="[Tasks].[Tasks].[Task  1]" caption="Task  1" numFmtId="0" hierarchy="1" level="2" mappingCount="37">
      <sharedItems count="5">
        <s v="[Tasks].[Tasks].&amp;[{439E6492-829B-F011-9A4D-90E868D17355}]" c="Requirement Analysis" cp="37">
          <x/>
          <x/>
          <x/>
          <x/>
          <x/>
          <x/>
          <x/>
          <x/>
          <x v="1"/>
          <x/>
          <x v="1"/>
          <x v="1"/>
          <x/>
          <x v="1"/>
          <x/>
          <x v="1"/>
          <x/>
          <x v="1"/>
          <x/>
          <x/>
          <x/>
          <x/>
          <x/>
          <x/>
          <x/>
          <x v="1"/>
          <x v="1"/>
          <x v="1"/>
          <x/>
          <x v="1"/>
          <x/>
          <x/>
          <x v="1"/>
          <x v="1"/>
          <x v="1"/>
          <x v="1"/>
          <x v="1"/>
        </s>
        <s v="[Tasks].[Tasks].&amp;[{479E6492-829B-F011-9A4D-90E868D17355}]" c="System Design" cp="37">
          <x/>
          <x/>
          <x/>
          <x/>
          <x/>
          <x/>
          <x/>
          <x/>
          <x v="2"/>
          <x/>
          <x v="2"/>
          <x v="2"/>
          <x v="1"/>
          <x v="2"/>
          <x/>
          <x v="1"/>
          <x/>
          <x v="2"/>
          <x/>
          <x/>
          <x/>
          <x/>
          <x/>
          <x/>
          <x/>
          <x v="2"/>
          <x v="2"/>
          <x v="2"/>
          <x v="1"/>
          <x v="2"/>
          <x/>
          <x/>
          <x v="2"/>
          <x v="1"/>
          <x v="2"/>
          <x v="2"/>
          <x v="2"/>
        </s>
        <s v="[Tasks].[Tasks].&amp;[{519E6492-829B-F011-9A4D-90E868D17355}]" c="Implementation" cp="37">
          <x/>
          <x/>
          <x/>
          <x/>
          <x/>
          <x/>
          <x/>
          <x/>
          <x v="3"/>
          <x/>
          <x v="3"/>
          <x v="3"/>
          <x v="2"/>
          <x v="3"/>
          <x/>
          <x v="1"/>
          <x/>
          <x/>
          <x/>
          <x/>
          <x/>
          <x/>
          <x/>
          <x/>
          <x/>
          <x v="3"/>
          <x v="3"/>
          <x v="3"/>
          <x v="2"/>
          <x v="3"/>
          <x/>
          <x/>
          <x v="3"/>
          <x v="1"/>
          <x v="3"/>
          <x v="3"/>
          <x v="3"/>
        </s>
        <s v="[Tasks].[Tasks].&amp;[{529E6492-829B-F011-9A4D-90E868D17355}]" c="Testing" cp="37">
          <x/>
          <x/>
          <x/>
          <x/>
          <x/>
          <x/>
          <x/>
          <x/>
          <x v="4"/>
          <x/>
          <x v="4"/>
          <x v="4"/>
          <x v="3"/>
          <x v="4"/>
          <x/>
          <x v="1"/>
          <x/>
          <x v="3"/>
          <x/>
          <x/>
          <x/>
          <x/>
          <x/>
          <x/>
          <x/>
          <x v="4"/>
          <x v="4"/>
          <x v="4"/>
          <x v="3"/>
          <x v="4"/>
          <x/>
          <x/>
          <x v="4"/>
          <x v="1"/>
          <x v="4"/>
          <x v="4"/>
          <x v="4"/>
        </s>
        <s v="[Tasks].[Tasks].&amp;[{579E6492-829B-F011-9A4D-90E868D17355}]" c="Deployment" cp="37">
          <x/>
          <x/>
          <x/>
          <x/>
          <x/>
          <x/>
          <x/>
          <x/>
          <x v="5"/>
          <x/>
          <x v="5"/>
          <x/>
          <x v="4"/>
          <x/>
          <x/>
          <x/>
          <x/>
          <x v="4"/>
          <x/>
          <x/>
          <x/>
          <x/>
          <x/>
          <x/>
          <x/>
          <x v="5"/>
          <x v="5"/>
          <x/>
          <x v="4"/>
          <x v="5"/>
          <x/>
          <x/>
          <x v="5"/>
          <x v="1"/>
          <x/>
          <x v="5"/>
          <x v="5"/>
        </s>
      </sharedItems>
      <mpMap v="4"/>
      <mpMap v="5"/>
      <mpMap v="6"/>
      <mpMap v="7"/>
      <mpMap v="8"/>
      <mpMap v="9"/>
      <mpMap v="10"/>
      <mpMap v="11"/>
      <mpMap v="12"/>
      <mpMap v="13"/>
      <mpMap v="14"/>
      <mpMap v="15"/>
      <mpMap v="16"/>
      <mpMap v="17"/>
      <mpMap v="18"/>
      <mpMap v="19"/>
      <mpMap v="20"/>
      <mpMap v="21"/>
      <mpMap v="22"/>
      <mpMap v="23"/>
      <mpMap v="24"/>
      <mpMap v="25"/>
      <mpMap v="26"/>
      <mpMap v="27"/>
      <mpMap v="28"/>
      <mpMap v="29"/>
      <mpMap v="30"/>
      <mpMap v="31"/>
      <mpMap v="32"/>
      <mpMap v="33"/>
      <mpMap v="34"/>
      <mpMap v="35"/>
      <mpMap v="36"/>
      <mpMap v="37"/>
      <mpMap v="38"/>
      <mpMap v="39"/>
      <mpMap v="40"/>
    </cacheField>
    <cacheField name="[Tasks].[Tasks].[Task  2]" caption="Task  2" numFmtId="0" hierarchy="1" level="3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unt="1">
        <s v="0"/>
      </sharedItems>
    </cacheField>
    <cacheField name="[Tasks].[Tasks].[Actual Finish]" caption="Actual Finish" propertyName="Actual Finish" numFmtId="0" hierarchy="1" level="32767" memberPropertyField="1">
      <sharedItems count="1">
        <s v=""/>
      </sharedItems>
    </cacheField>
    <cacheField name="[Tasks].[Tasks].[Actual Start]" caption="Actual Start" propertyName="Actual Start" numFmtId="0" hierarchy="1" level="32767" memberPropertyField="1">
      <sharedItems count="1">
        <s v=""/>
      </sharedItems>
    </cacheField>
    <cacheField name="[Tasks].[Tasks].[Baseline Estimated Duration]" caption="Baseline Estimated Duration" propertyName="Baseline Estimated Duration" numFmtId="0" hierarchy="1" level="32767" memberPropertyField="1">
      <sharedItems count="1">
        <s v="0"/>
      </sharedItems>
    </cacheField>
    <cacheField name="[Tasks].[Tasks].[Baseline Estimated Finish]" caption="Baseline Estimated Finish" propertyName="Baseline Estimated Finish" numFmtId="0" hierarchy="1" level="32767" memberPropertyField="1">
      <sharedItems count="1">
        <s v=""/>
      </sharedItems>
    </cacheField>
    <cacheField name="[Tasks].[Tasks].[Baseline Estimated Start]" caption="Baseline Estimated Start" propertyName="Baseline Estimated Start" numFmtId="0" hierarchy="1" level="32767" memberPropertyField="1">
      <sharedItems count="1">
        <s v=""/>
      </sharedItems>
    </cacheField>
    <cacheField name="[Tasks].[Tasks].[Baseline Fixed Cost]" caption="Baseline Fixed Cost" propertyName="Baseline Fixed Cost" numFmtId="0" hierarchy="1" level="32767" memberPropertyField="1">
      <sharedItems count="1">
        <s v="0"/>
      </sharedItems>
    </cacheField>
    <cacheField name="[Tasks].[Tasks].[Constraint Date]" caption="Constraint Date" propertyName="Constraint Date" numFmtId="0" hierarchy="1" level="32767" memberPropertyField="1">
      <sharedItems count="1">
        <s v=""/>
      </sharedItems>
    </cacheField>
    <cacheField name="[Tasks].[Tasks].[Created]" caption="Created" propertyName="Created" numFmtId="0" hierarchy="1" level="32767" memberPropertyField="1">
      <sharedItems count="6">
        <s v="9/27/2025 2:13:00 PM"/>
        <s v="9/27/2025 2:37:00 PM"/>
        <s v="9/27/2025 2:47:00 PM"/>
        <s v="9/27/2025 3:28:00 PM"/>
        <s v="9/27/2025 3:30:00 PM"/>
        <s v="9/27/2025 3:33:00 PM"/>
      </sharedItems>
    </cacheField>
    <cacheField name="[Tasks].[Tasks].[Deadline]" caption="Deadline" propertyName="Deadline" numFmtId="0" hierarchy="1" level="32767" memberPropertyField="1">
      <sharedItems count="1">
        <s v=""/>
      </sharedItems>
    </cacheField>
    <cacheField name="[Tasks].[Tasks].[Duration Variance]" caption="Duration Variance" propertyName="Duration Variance" numFmtId="0" hierarchy="1" level="32767" memberPropertyField="1">
      <sharedItems count="6">
        <s v="125.00000000000001"/>
        <s v="17"/>
        <s v="16"/>
        <s v="47"/>
        <s v="18"/>
        <s v="27"/>
      </sharedItems>
    </cacheField>
    <cacheField name="[Tasks].[Tasks].[Early Finish]" caption="Early Finish" propertyName="Early Finish" numFmtId="0" hierarchy="1" level="32767" memberPropertyField="1">
      <sharedItems count="5">
        <s v="9/20/2024 5:00:00 PM"/>
        <s v="4/23/2024 5:00:00 PM"/>
        <s v="5/15/2024 5:00:00 PM"/>
        <s v="7/19/2024 5:00:00 PM"/>
        <s v="8/14/2024 5:00:00 PM"/>
      </sharedItems>
    </cacheField>
    <cacheField name="[Tasks].[Tasks].[Early Start]" caption="Early Start" propertyName="Early Start" numFmtId="0" hierarchy="1" level="32767" memberPropertyField="1">
      <sharedItems count="5">
        <s v="4/1/2024 8:00:00 AM"/>
        <s v="4/24/2024 8:00:00 AM"/>
        <s v="5/16/2024 8:00:00 AM"/>
        <s v="7/22/2024 8:00:00 AM"/>
        <s v="8/15/2024 8:00:00 AM"/>
      </sharedItems>
    </cacheField>
    <cacheField name="[Tasks].[Tasks].[Finish Slack]" caption="Finish Slack" propertyName="Finish Slack" numFmtId="0" hierarchy="1" level="32767" memberPropertyField="1">
      <sharedItems count="5">
        <s v="0"/>
        <s v="108"/>
        <s v="92"/>
        <s v="45"/>
        <s v="27"/>
      </sharedItems>
    </cacheField>
    <cacheField name="[Tasks].[Tasks].[Finish Variance]" caption="Finish Variance" propertyName="Finish Variance" numFmtId="0" hierarchy="1" level="32767" memberPropertyField="1">
      <sharedItems count="1">
        <s v="0"/>
      </sharedItems>
    </cacheField>
    <cacheField name="[Tasks].[Tasks].[Free Slack]" caption="Free Slack" propertyName="Free Slack" numFmtId="0" hierarchy="1" level="32767" memberPropertyField="1">
      <sharedItems count="2">
        <s v="0"/>
        <s v="1"/>
      </sharedItems>
    </cacheField>
    <cacheField name="[Tasks].[Tasks].[Late Finish]" caption="Late Finish" propertyName="Late Finish" numFmtId="0" hierarchy="1" level="32767" memberPropertyField="1">
      <sharedItems count="1">
        <s v="9/20/2024 5:00:00 PM"/>
      </sharedItems>
    </cacheField>
    <cacheField name="[Tasks].[Tasks].[Late Start]" caption="Late Start" propertyName="Late Start" numFmtId="0" hierarchy="1" level="32767" memberPropertyField="1">
      <sharedItems count="5">
        <s v="7/18/2024 8:00:00 AM"/>
        <s v="8/29/2024 8:00:00 AM"/>
        <s v="9/10/2024 8:00:00 AM"/>
        <s v="8/28/2024 8:00:00 AM"/>
        <s v="8/21/2024 8:00:00 AM"/>
      </sharedItems>
    </cacheField>
    <cacheField name="[Tasks].[Tasks].[Leveling Delay]" caption="Leveling Delay" propertyName="Leveling Delay" numFmtId="0" hierarchy="1" level="32767" memberPropertyField="1">
      <sharedItems count="1">
        <s v="0"/>
      </sharedItems>
    </cacheField>
    <cacheField name="[Tasks].[Tasks].[Percent Complete]" caption="Percent Complete" propertyName="Percent Complete" numFmtId="0" hierarchy="1" level="32767" memberPropertyField="1">
      <sharedItems count="1">
        <s v="0"/>
      </sharedItems>
    </cacheField>
    <cacheField name="[Tasks].[Tasks].[Percent Work Complete]" caption="Percent Work Complete" propertyName="Percent Work Complete" numFmtId="0" hierarchy="1" level="32767" memberPropertyField="1">
      <sharedItems count="1">
        <s v="0"/>
      </sharedItems>
    </cacheField>
    <cacheField name="[Tasks].[Tasks].[Physical Percent Complete]" caption="Physical Percent Complete" propertyName="Physical Percent Complete" numFmtId="0" hierarchy="1" level="32767" memberPropertyField="1">
      <sharedItems count="1">
        <s v="0"/>
      </sharedItems>
    </cacheField>
    <cacheField name="[Tasks].[Tasks].[Preleveled Finish]" caption="Preleveled Finish" propertyName="Preleveled Finish" numFmtId="0" hierarchy="1" level="32767" memberPropertyField="1">
      <sharedItems count="1">
        <s v=""/>
      </sharedItems>
    </cacheField>
    <cacheField name="[Tasks].[Tasks].[Preleveled Start]" caption="Preleveled Start" propertyName="Preleveled Start" numFmtId="0" hierarchy="1" level="32767" memberPropertyField="1">
      <sharedItems count="1">
        <s v=""/>
      </sharedItems>
    </cacheField>
    <cacheField name="[Tasks].[Tasks].[Priority]" caption="Priority" propertyName="Priority" numFmtId="0" hierarchy="1" level="32767" memberPropertyField="1">
      <sharedItems count="1">
        <s v="500"/>
      </sharedItems>
    </cacheField>
    <cacheField name="[Tasks].[Tasks].[Remaining Duration]" caption="Remaining Duration" propertyName="Remaining Duration" numFmtId="0" hierarchy="1" level="32767" memberPropertyField="1">
      <sharedItems count="6">
        <s v="125.00000000000001"/>
        <s v="17"/>
        <s v="16"/>
        <s v="47"/>
        <s v="18"/>
        <s v="27"/>
      </sharedItems>
    </cacheField>
    <cacheField name="[Tasks].[Tasks].[Scheduled Duration]" caption="Scheduled Duration" propertyName="Scheduled Duration" numFmtId="0" hierarchy="1" level="32767" memberPropertyField="1">
      <sharedItems count="6">
        <s v="125.00000000000001"/>
        <s v="17"/>
        <s v="16"/>
        <s v="47"/>
        <s v="18"/>
        <s v="27"/>
      </sharedItems>
    </cacheField>
    <cacheField name="[Tasks].[Tasks].[Scheduled Finish]" caption="Scheduled Finish" propertyName="Scheduled Finish" numFmtId="0" hierarchy="1" level="32767" memberPropertyField="1">
      <sharedItems count="5">
        <s v="9/20/2024 5:00:00 PM"/>
        <s v="4/23/2024 5:00:00 PM"/>
        <s v="5/15/2024 5:00:00 PM"/>
        <s v="7/19/2024 5:00:00 PM"/>
        <s v="8/14/2024 5:00:00 PM"/>
      </sharedItems>
    </cacheField>
    <cacheField name="[Tasks].[Tasks].[Scheduled Start]" caption="Scheduled Start" propertyName="Scheduled Start" numFmtId="0" hierarchy="1" level="32767" memberPropertyField="1">
      <sharedItems count="5">
        <s v="4/1/2024 8:00:00 AM"/>
        <s v="4/24/2024 8:00:00 AM"/>
        <s v="5/16/2024 8:00:00 AM"/>
        <s v="7/22/2024 8:00:00 AM"/>
        <s v="8/15/2024 8:00:00 AM"/>
      </sharedItems>
    </cacheField>
    <cacheField name="[Tasks].[Tasks].[Start Slack]" caption="Start Slack" propertyName="Start Slack" numFmtId="0" hierarchy="1" level="32767" memberPropertyField="1">
      <sharedItems count="6">
        <s v="78"/>
        <s v="108"/>
        <s v="99"/>
        <s v="45"/>
        <s v="27"/>
        <s v="4"/>
      </sharedItems>
    </cacheField>
    <cacheField name="[Tasks].[Tasks].[Start Variance]" caption="Start Variance" propertyName="Start Variance" numFmtId="0" hierarchy="1" level="32767" memberPropertyField="1">
      <sharedItems count="1">
        <s v="0"/>
      </sharedItems>
    </cacheField>
    <cacheField name="[Tasks].[Tasks].[Stop]" caption="Stop" propertyName="Stop" numFmtId="0" hierarchy="1" level="32767" memberPropertyField="1">
      <sharedItems count="1">
        <s v=""/>
      </sharedItems>
    </cacheField>
    <cacheField name="[Tasks].[Tasks].[TaskID]" caption="TaskID" propertyName="TaskID" numFmtId="0" hierarchy="1" level="32767" memberPropertyField="1">
      <sharedItems count="6">
        <s v="0"/>
        <s v="1"/>
        <s v="6"/>
        <s v="11"/>
        <s v="16"/>
        <s v="21"/>
      </sharedItems>
    </cacheField>
    <cacheField name="[Tasks].[Tasks].[Tasks]" caption="Tasks" propertyName="Tasks" numFmtId="0" hierarchy="1" level="32767" memberPropertyField="1">
      <sharedItems containsBlank="1" count="2">
        <m/>
        <s v="Implementasi Project WiFi Gratis Untuk Seluruh Area Kampus"/>
      </sharedItems>
    </cacheField>
    <cacheField name="[Tasks].[Tasks].[Total Slack]" caption="Total Slack" propertyName="Total Slack" numFmtId="0" hierarchy="1" level="32767" memberPropertyField="1">
      <sharedItems count="5">
        <s v="0"/>
        <s v="108"/>
        <s v="92"/>
        <s v="45"/>
        <s v="27"/>
      </sharedItems>
    </cacheField>
    <cacheField name="[Tasks].[Tasks].[VAC]" caption="VAC" propertyName="VAC" numFmtId="0" hierarchy="1" level="32767" memberPropertyField="1">
      <sharedItems count="6">
        <s v="-344000000"/>
        <s v="-41600000"/>
        <s v="-28800000"/>
        <s v="-150800000"/>
        <s v="-40800000"/>
        <s v="-82000000"/>
      </sharedItems>
    </cacheField>
    <cacheField name="[Tasks].[Tasks].[WBS]" caption="WBS" propertyName="WBS" numFmtId="0" hierarchy="1" level="32767" memberPropertyField="1">
      <sharedItems count="6">
        <s v="0"/>
        <s v="1"/>
        <s v="2"/>
        <s v="3"/>
        <s v="4"/>
        <s v="5"/>
      </sharedItems>
    </cacheField>
    <cacheField name="[Time].[Monthly Calendar].[Year]" caption="Year" numFmtId="0" hierarchy="2" level="1">
      <sharedItems containsSemiMixedTypes="0" containsString="0"/>
    </cacheField>
    <cacheField name="[Time].[Monthly Calendar].[Month]" caption="Month" numFmtId="0" hierarchy="2" level="2">
      <sharedItems containsSemiMixedTypes="0" containsString="0"/>
    </cacheField>
  </cacheFields>
  <cacheHierarchies count="84">
    <cacheHierarchy uniqueName="[Resources].[Resources]" caption="Resources" defaultMemberUniqueName="[Resources].[Resources].[All]" allUniqueName="[Resources].[Resources].[All]" dimensionUniqueName="[Resources]" displayFolder="" count="0" unbalanced="0"/>
    <cacheHierarchy uniqueName="[Tasks].[Tasks]" caption="Tasks" defaultMemberUniqueName="[Tasks].[Tasks].[All]" allUniqueName="[Tasks].[Tasks].[All]" dimensionUniqueName="[Tasks]" displayFolder="" count="4" unbalanced="1">
      <fieldsUsage count="4">
        <fieldUsage x="-1"/>
        <fieldUsage x="1"/>
        <fieldUsage x="2"/>
        <fieldUsage x="3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3" unbalanced="0">
      <fieldsUsage count="3">
        <fieldUsage x="-1"/>
        <fieldUsage x="41"/>
        <fieldUsage x="42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tual Cost]" caption="Actual Cost" measure="1" displayFolder="" measureGroup="Values" count="0"/>
    <cacheHierarchy uniqueName="[Measures].[Actual Overtime Work]" caption="Actual Overtime Work" measure="1" displayFolder="" measureGroup="Values" count="0"/>
    <cacheHierarchy uniqueName="[Measures].[Actual Work]" caption="Actual Work" measure="1" displayFolder="" measureGroup="Values" count="0"/>
    <cacheHierarchy uniqueName="[Measures].[Budget Cost]" caption="Budget Cost" measure="1" displayFolder="" measureGroup="Values" count="0"/>
    <cacheHierarchy uniqueName="[Measures].[Budget Work]" caption="Budget Work" measure="1" displayFolder="" measureGroup="Values" count="0"/>
    <cacheHierarchy uniqueName="[Measures].[Baseline Budget Cost]" caption="Baseline Budget Cost" measure="1" displayFolder="" measureGroup="Values" count="0"/>
    <cacheHierarchy uniqueName="[Measures].[Baseline Budget Work]" caption="Baseline Budget Work" measure="1" displayFolder="" measureGroup="Values" count="0"/>
    <cacheHierarchy uniqueName="[Measures].[Baseline Cost]" caption="Baseline Cost" measure="1" displayFolder="" measureGroup="Values" count="0"/>
    <cacheHierarchy uniqueName="[Measures].[Baseline Work]" caption="Baseline Work" measure="1" displayFolder="" measureGroup="Values" count="0"/>
    <cacheHierarchy uniqueName="[Measures].[Cost]" caption="Cost" measure="1" displayFolder="" measureGroup="Values" count="0" oneField="1">
      <fieldsUsage count="1">
        <fieldUsage x="0"/>
      </fieldsUsage>
    </cacheHierarchy>
    <cacheHierarchy uniqueName="[Measures].[Overtime Work]" caption="Overtime Work" measure="1" displayFolder="" measureGroup="Values" count="0"/>
    <cacheHierarchy uniqueName="[Measures].[Regular Work]" caption="Regular Work" measure="1" displayFolder="" measureGroup="Values" count="0"/>
    <cacheHierarchy uniqueName="[Measures].[Work]" caption="Work" measure="1" displayFolder="" measureGroup="Values" count="0"/>
    <cacheHierarchy uniqueName="[Measures].[Cumulative Cost]" caption="Cumulative Cost" measure="1" displayFolder="" count="0"/>
    <cacheHierarchy uniqueName="[Measures].[Cumulative Work]" caption="Cumulative Work" measure="1" displayFolder="" count="0"/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! zeeeinz" refreshedDate="45931.946248611108" createdVersion="7" refreshedVersion="7" minRefreshableVersion="3" recordCount="0" supportSubquery="1" supportAdvancedDrill="1" xr:uid="{4646BA2D-D662-48B2-AC52-F666772DDC30}">
  <cacheSource type="external" connectionId="1"/>
  <cacheFields count="43">
    <cacheField name="[Measures].[Cost]" caption="Cost" numFmtId="0" hierarchy="76"/>
    <cacheField name="[Tasks].[Tasks].[Task ]" caption="Task " numFmtId="0" hierarchy="1" level="1">
      <sharedItems count="1">
        <s v="[Tasks].[Tasks].&amp;[{429E6492-829B-F011-9A4D-90E868D17355}]" c="Implementasi Project WiFi Gratis Untuk Seluruh Area Kampus"/>
      </sharedItems>
    </cacheField>
    <cacheField name="[Tasks].[Tasks].[Task  1]" caption="Task  1" numFmtId="0" hierarchy="1" level="2">
      <sharedItems count="5">
        <s v="[Tasks].[Tasks].&amp;[{439E6492-829B-F011-9A4D-90E868D17355}]" c="Requirement Analysis"/>
        <s v="[Tasks].[Tasks].&amp;[{479E6492-829B-F011-9A4D-90E868D17355}]" c="System Design"/>
        <s v="[Tasks].[Tasks].&amp;[{519E6492-829B-F011-9A4D-90E868D17355}]" c="Implementation"/>
        <s v="[Tasks].[Tasks].&amp;[{529E6492-829B-F011-9A4D-90E868D17355}]" c="Testing"/>
        <s v="[Tasks].[Tasks].&amp;[{579E6492-829B-F011-9A4D-90E868D17355}]" c="Deployment"/>
      </sharedItems>
    </cacheField>
    <cacheField name="[Tasks].[Tasks].[Task  2]" caption="Task  2" numFmtId="0" hierarchy="1" level="3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ntainsSemiMixedTypes="0" containsString="0"/>
    </cacheField>
    <cacheField name="[Tasks].[Tasks].[Actual Finish]" caption="Actual Finish" propertyName="Actual Finish" numFmtId="0" hierarchy="1" level="32767" memberPropertyField="1">
      <sharedItems containsSemiMixedTypes="0" containsString="0"/>
    </cacheField>
    <cacheField name="[Tasks].[Tasks].[Actual Start]" caption="Actual Start" propertyName="Actual Start" numFmtId="0" hierarchy="1" level="32767" memberPropertyField="1">
      <sharedItems containsSemiMixedTypes="0" containsString="0"/>
    </cacheField>
    <cacheField name="[Tasks].[Tasks].[Baseline Estimated Duration]" caption="Baseline Estimated Duration" propertyName="Baseline Estimated Duration" numFmtId="0" hierarchy="1" level="32767" memberPropertyField="1">
      <sharedItems containsSemiMixedTypes="0" containsString="0"/>
    </cacheField>
    <cacheField name="[Tasks].[Tasks].[Baseline Estimated Finish]" caption="Baseline Estimated Finish" propertyName="Baseline Estimated Finish" numFmtId="0" hierarchy="1" level="32767" memberPropertyField="1">
      <sharedItems containsSemiMixedTypes="0" containsString="0"/>
    </cacheField>
    <cacheField name="[Tasks].[Tasks].[Baseline Estimated Start]" caption="Baseline Estimated Start" propertyName="Baseline Estimated Start" numFmtId="0" hierarchy="1" level="32767" memberPropertyField="1">
      <sharedItems containsSemiMixedTypes="0" containsString="0"/>
    </cacheField>
    <cacheField name="[Tasks].[Tasks].[Baseline Fixed Cost]" caption="Baseline Fixed Cost" propertyName="Baseline Fixed Cost" numFmtId="0" hierarchy="1" level="32767" memberPropertyField="1">
      <sharedItems containsSemiMixedTypes="0" containsString="0"/>
    </cacheField>
    <cacheField name="[Tasks].[Tasks].[Constraint Date]" caption="Constraint Date" propertyName="Constraint Date" numFmtId="0" hierarchy="1" level="32767" memberPropertyField="1">
      <sharedItems containsSemiMixedTypes="0" containsString="0"/>
    </cacheField>
    <cacheField name="[Tasks].[Tasks].[Created]" caption="Created" propertyName="Created" numFmtId="0" hierarchy="1" level="32767" memberPropertyField="1">
      <sharedItems containsSemiMixedTypes="0" containsString="0"/>
    </cacheField>
    <cacheField name="[Tasks].[Tasks].[Deadline]" caption="Deadline" propertyName="Deadline" numFmtId="0" hierarchy="1" level="32767" memberPropertyField="1">
      <sharedItems containsSemiMixedTypes="0" containsString="0"/>
    </cacheField>
    <cacheField name="[Tasks].[Tasks].[Duration Variance]" caption="Duration Variance" propertyName="Duration Variance" numFmtId="0" hierarchy="1" level="32767" memberPropertyField="1">
      <sharedItems containsSemiMixedTypes="0" containsString="0"/>
    </cacheField>
    <cacheField name="[Tasks].[Tasks].[Early Finish]" caption="Early Finish" propertyName="Early Finish" numFmtId="0" hierarchy="1" level="32767" memberPropertyField="1">
      <sharedItems containsSemiMixedTypes="0" containsString="0"/>
    </cacheField>
    <cacheField name="[Tasks].[Tasks].[Early Start]" caption="Early Start" propertyName="Early Start" numFmtId="0" hierarchy="1" level="32767" memberPropertyField="1">
      <sharedItems containsSemiMixedTypes="0" containsString="0"/>
    </cacheField>
    <cacheField name="[Tasks].[Tasks].[Finish Slack]" caption="Finish Slack" propertyName="Finish Slack" numFmtId="0" hierarchy="1" level="32767" memberPropertyField="1">
      <sharedItems containsSemiMixedTypes="0" containsString="0"/>
    </cacheField>
    <cacheField name="[Tasks].[Tasks].[Finish Variance]" caption="Finish Variance" propertyName="Finish Variance" numFmtId="0" hierarchy="1" level="32767" memberPropertyField="1">
      <sharedItems containsSemiMixedTypes="0" containsString="0"/>
    </cacheField>
    <cacheField name="[Tasks].[Tasks].[Free Slack]" caption="Free Slack" propertyName="Free Slack" numFmtId="0" hierarchy="1" level="32767" memberPropertyField="1">
      <sharedItems containsSemiMixedTypes="0" containsString="0"/>
    </cacheField>
    <cacheField name="[Tasks].[Tasks].[Late Finish]" caption="Late Finish" propertyName="Late Finish" numFmtId="0" hierarchy="1" level="32767" memberPropertyField="1">
      <sharedItems containsSemiMixedTypes="0" containsString="0"/>
    </cacheField>
    <cacheField name="[Tasks].[Tasks].[Late Start]" caption="Late Start" propertyName="Late Start" numFmtId="0" hierarchy="1" level="32767" memberPropertyField="1">
      <sharedItems containsSemiMixedTypes="0" containsString="0"/>
    </cacheField>
    <cacheField name="[Tasks].[Tasks].[Leveling Delay]" caption="Leveling Delay" propertyName="Leveling Delay" numFmtId="0" hierarchy="1" level="32767" memberPropertyField="1">
      <sharedItems containsSemiMixedTypes="0" containsString="0"/>
    </cacheField>
    <cacheField name="[Tasks].[Tasks].[Percent Complete]" caption="Percent Complete" propertyName="Percent Complete" numFmtId="0" hierarchy="1" level="32767" memberPropertyField="1">
      <sharedItems containsSemiMixedTypes="0" containsString="0"/>
    </cacheField>
    <cacheField name="[Tasks].[Tasks].[Percent Work Complete]" caption="Percent Work Complete" propertyName="Percent Work Complete" numFmtId="0" hierarchy="1" level="32767" memberPropertyField="1">
      <sharedItems containsSemiMixedTypes="0" containsString="0"/>
    </cacheField>
    <cacheField name="[Tasks].[Tasks].[Physical Percent Complete]" caption="Physical Percent Complete" propertyName="Physical Percent Complete" numFmtId="0" hierarchy="1" level="32767" memberPropertyField="1">
      <sharedItems containsSemiMixedTypes="0" containsString="0"/>
    </cacheField>
    <cacheField name="[Tasks].[Tasks].[Preleveled Finish]" caption="Preleveled Finish" propertyName="Preleveled Finish" numFmtId="0" hierarchy="1" level="32767" memberPropertyField="1">
      <sharedItems containsSemiMixedTypes="0" containsString="0"/>
    </cacheField>
    <cacheField name="[Tasks].[Tasks].[Preleveled Start]" caption="Preleveled Start" propertyName="Preleveled Start" numFmtId="0" hierarchy="1" level="32767" memberPropertyField="1">
      <sharedItems containsSemiMixedTypes="0" containsString="0"/>
    </cacheField>
    <cacheField name="[Tasks].[Tasks].[Priority]" caption="Priority" propertyName="Priority" numFmtId="0" hierarchy="1" level="32767" memberPropertyField="1">
      <sharedItems containsSemiMixedTypes="0" containsString="0"/>
    </cacheField>
    <cacheField name="[Tasks].[Tasks].[Remaining Duration]" caption="Remaining Duration" propertyName="Remaining Duration" numFmtId="0" hierarchy="1" level="32767" memberPropertyField="1">
      <sharedItems containsSemiMixedTypes="0" containsString="0"/>
    </cacheField>
    <cacheField name="[Tasks].[Tasks].[Scheduled Duration]" caption="Scheduled Duration" propertyName="Scheduled Duration" numFmtId="0" hierarchy="1" level="32767" memberPropertyField="1">
      <sharedItems containsSemiMixedTypes="0" containsString="0"/>
    </cacheField>
    <cacheField name="[Tasks].[Tasks].[Scheduled Finish]" caption="Scheduled Finish" propertyName="Scheduled Finish" numFmtId="0" hierarchy="1" level="32767" memberPropertyField="1">
      <sharedItems containsSemiMixedTypes="0" containsString="0"/>
    </cacheField>
    <cacheField name="[Tasks].[Tasks].[Scheduled Start]" caption="Scheduled Start" propertyName="Scheduled Start" numFmtId="0" hierarchy="1" level="32767" memberPropertyField="1">
      <sharedItems containsSemiMixedTypes="0" containsString="0"/>
    </cacheField>
    <cacheField name="[Tasks].[Tasks].[Start Slack]" caption="Start Slack" propertyName="Start Slack" numFmtId="0" hierarchy="1" level="32767" memberPropertyField="1">
      <sharedItems containsSemiMixedTypes="0" containsString="0"/>
    </cacheField>
    <cacheField name="[Tasks].[Tasks].[Start Variance]" caption="Start Variance" propertyName="Start Variance" numFmtId="0" hierarchy="1" level="32767" memberPropertyField="1">
      <sharedItems containsSemiMixedTypes="0" containsString="0"/>
    </cacheField>
    <cacheField name="[Tasks].[Tasks].[Stop]" caption="Stop" propertyName="Stop" numFmtId="0" hierarchy="1" level="32767" memberPropertyField="1">
      <sharedItems containsSemiMixedTypes="0" containsString="0"/>
    </cacheField>
    <cacheField name="[Tasks].[Tasks].[TaskID]" caption="TaskID" propertyName="TaskID" numFmtId="0" hierarchy="1" level="32767" memberPropertyField="1">
      <sharedItems containsSemiMixedTypes="0" containsString="0"/>
    </cacheField>
    <cacheField name="[Tasks].[Tasks].[Tasks]" caption="Tasks" propertyName="Tasks" numFmtId="0" hierarchy="1" level="32767" memberPropertyField="1">
      <sharedItems containsSemiMixedTypes="0" containsString="0"/>
    </cacheField>
    <cacheField name="[Tasks].[Tasks].[Total Slack]" caption="Total Slack" propertyName="Total Slack" numFmtId="0" hierarchy="1" level="32767" memberPropertyField="1">
      <sharedItems containsSemiMixedTypes="0" containsString="0"/>
    </cacheField>
    <cacheField name="[Tasks].[Tasks].[VAC]" caption="VAC" propertyName="VAC" numFmtId="0" hierarchy="1" level="32767" memberPropertyField="1">
      <sharedItems containsSemiMixedTypes="0" containsString="0"/>
    </cacheField>
    <cacheField name="[Tasks].[Tasks].[WBS]" caption="WBS" propertyName="WBS" numFmtId="0" hierarchy="1" level="32767" memberPropertyField="1">
      <sharedItems containsSemiMixedTypes="0" containsString="0"/>
    </cacheField>
    <cacheField name="[Time].[Monthly Calendar].[Year]" caption="Year" numFmtId="0" hierarchy="2" level="1">
      <sharedItems count="1">
        <s v="[Time].[Monthly Calendar].[Year].&amp;[2024]" c="2024"/>
      </sharedItems>
    </cacheField>
    <cacheField name="[Time].[Monthly Calendar].[Month]" caption="Month" numFmtId="0" hierarchy="2" level="2">
      <sharedItems count="6">
        <s v="[Time].[Monthly Calendar].[Year].&amp;[2024].&amp;[4]" c="April"/>
        <s v="[Time].[Monthly Calendar].[Year].&amp;[2024].&amp;[5]" c="May"/>
        <s v="[Time].[Monthly Calendar].[Year].&amp;[2024].&amp;[6]" c="June"/>
        <s v="[Time].[Monthly Calendar].[Year].&amp;[2024].&amp;[7]" c="July"/>
        <s v="[Time].[Monthly Calendar].[Year].&amp;[2024].&amp;[8]" c="August"/>
        <s v="[Time].[Monthly Calendar].[Year].&amp;[2024].&amp;[9]" c="September"/>
      </sharedItems>
    </cacheField>
  </cacheFields>
  <cacheHierarchies count="84">
    <cacheHierarchy uniqueName="[Resources].[Resources]" caption="Resources" defaultMemberUniqueName="[Resources].[Resources].[All]" allUniqueName="[Resources].[Resources].[All]" dimensionUniqueName="[Resources]" displayFolder="" count="0" unbalanced="0"/>
    <cacheHierarchy uniqueName="[Tasks].[Tasks]" caption="Tasks" defaultMemberUniqueName="[Tasks].[Tasks].[All]" allUniqueName="[Tasks].[Tasks].[All]" dimensionUniqueName="[Tasks]" displayFolder="" count="4" unbalanced="1">
      <fieldsUsage count="4">
        <fieldUsage x="-1"/>
        <fieldUsage x="1"/>
        <fieldUsage x="2"/>
        <fieldUsage x="3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3" unbalanced="0">
      <fieldsUsage count="3">
        <fieldUsage x="-1"/>
        <fieldUsage x="41"/>
        <fieldUsage x="42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tual Cost]" caption="Actual Cost" measure="1" displayFolder="" measureGroup="Values" count="0"/>
    <cacheHierarchy uniqueName="[Measures].[Actual Overtime Work]" caption="Actual Overtime Work" measure="1" displayFolder="" measureGroup="Values" count="0"/>
    <cacheHierarchy uniqueName="[Measures].[Actual Work]" caption="Actual Work" measure="1" displayFolder="" measureGroup="Values" count="0"/>
    <cacheHierarchy uniqueName="[Measures].[Budget Cost]" caption="Budget Cost" measure="1" displayFolder="" measureGroup="Values" count="0"/>
    <cacheHierarchy uniqueName="[Measures].[Budget Work]" caption="Budget Work" measure="1" displayFolder="" measureGroup="Values" count="0"/>
    <cacheHierarchy uniqueName="[Measures].[Baseline Budget Cost]" caption="Baseline Budget Cost" measure="1" displayFolder="" measureGroup="Values" count="0"/>
    <cacheHierarchy uniqueName="[Measures].[Baseline Budget Work]" caption="Baseline Budget Work" measure="1" displayFolder="" measureGroup="Values" count="0"/>
    <cacheHierarchy uniqueName="[Measures].[Baseline Cost]" caption="Baseline Cost" measure="1" displayFolder="" measureGroup="Values" count="0"/>
    <cacheHierarchy uniqueName="[Measures].[Baseline Work]" caption="Baseline Work" measure="1" displayFolder="" measureGroup="Values" count="0"/>
    <cacheHierarchy uniqueName="[Measures].[Cost]" caption="Cost" measure="1" displayFolder="" measureGroup="Values" count="0" oneField="1">
      <fieldsUsage count="1">
        <fieldUsage x="0"/>
      </fieldsUsage>
    </cacheHierarchy>
    <cacheHierarchy uniqueName="[Measures].[Overtime Work]" caption="Overtime Work" measure="1" displayFolder="" measureGroup="Values" count="0"/>
    <cacheHierarchy uniqueName="[Measures].[Regular Work]" caption="Regular Work" measure="1" displayFolder="" measureGroup="Values" count="0"/>
    <cacheHierarchy uniqueName="[Measures].[Work]" caption="Work" measure="1" displayFolder="" measureGroup="Values" count="0"/>
    <cacheHierarchy uniqueName="[Measures].[Cumulative Cost]" caption="Cumulative Cost" measure="1" displayFolder="" count="0"/>
    <cacheHierarchy uniqueName="[Measures].[Cumulative Work]" caption="Cumulative Work" measure="1" displayFolder="" count="0"/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! zeeeinz" refreshedDate="45931.946413773148" createdVersion="7" refreshedVersion="7" minRefreshableVersion="3" recordCount="0" supportSubquery="1" supportAdvancedDrill="1" xr:uid="{51260167-EF19-4FFF-8314-B4927D918F1F}">
  <cacheSource type="external" connectionId="2"/>
  <cacheFields count="63">
    <cacheField name="[Measures].[Cost]" caption="Cost" numFmtId="0" hierarchy="76"/>
    <cacheField name="[Tasks].[Tasks].[Task ]" caption="Task " numFmtId="0" hierarchy="1" level="1">
      <sharedItems count="1">
        <s v="[Tasks].[Tasks].&amp;[{429E6492-829B-F011-9A4D-90E868D17355}]" c="Implementasi Project WiFi Gratis Untuk Seluruh Area Kampus"/>
      </sharedItems>
    </cacheField>
    <cacheField name="[Tasks].[Tasks].[Task  1]" caption="Task  1" numFmtId="0" hierarchy="1" level="2">
      <sharedItems count="5">
        <s v="[Tasks].[Tasks].&amp;[{439E6492-829B-F011-9A4D-90E868D17355}]" c="Requirement Analysis"/>
        <s v="[Tasks].[Tasks].&amp;[{479E6492-829B-F011-9A4D-90E868D17355}]" c="System Design"/>
        <s v="[Tasks].[Tasks].&amp;[{519E6492-829B-F011-9A4D-90E868D17355}]" c="Implementation"/>
        <s v="[Tasks].[Tasks].&amp;[{529E6492-829B-F011-9A4D-90E868D17355}]" c="Testing"/>
        <s v="[Tasks].[Tasks].&amp;[{579E6492-829B-F011-9A4D-90E868D17355}]" c="Deployment"/>
      </sharedItems>
    </cacheField>
    <cacheField name="[Tasks].[Tasks].[Task  2]" caption="Task  2" numFmtId="0" hierarchy="1" level="3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ntainsSemiMixedTypes="0" containsString="0"/>
    </cacheField>
    <cacheField name="[Tasks].[Tasks].[Actual Finish]" caption="Actual Finish" propertyName="Actual Finish" numFmtId="0" hierarchy="1" level="32767" memberPropertyField="1">
      <sharedItems containsSemiMixedTypes="0" containsString="0"/>
    </cacheField>
    <cacheField name="[Tasks].[Tasks].[Actual Start]" caption="Actual Start" propertyName="Actual Start" numFmtId="0" hierarchy="1" level="32767" memberPropertyField="1">
      <sharedItems containsSemiMixedTypes="0" containsString="0"/>
    </cacheField>
    <cacheField name="[Tasks].[Tasks].[Baseline Estimated Duration]" caption="Baseline Estimated Duration" propertyName="Baseline Estimated Duration" numFmtId="0" hierarchy="1" level="32767" memberPropertyField="1">
      <sharedItems containsSemiMixedTypes="0" containsString="0"/>
    </cacheField>
    <cacheField name="[Tasks].[Tasks].[Baseline Estimated Finish]" caption="Baseline Estimated Finish" propertyName="Baseline Estimated Finish" numFmtId="0" hierarchy="1" level="32767" memberPropertyField="1">
      <sharedItems containsSemiMixedTypes="0" containsString="0"/>
    </cacheField>
    <cacheField name="[Tasks].[Tasks].[Baseline Estimated Start]" caption="Baseline Estimated Start" propertyName="Baseline Estimated Start" numFmtId="0" hierarchy="1" level="32767" memberPropertyField="1">
      <sharedItems containsSemiMixedTypes="0" containsString="0"/>
    </cacheField>
    <cacheField name="[Tasks].[Tasks].[Baseline Fixed Cost]" caption="Baseline Fixed Cost" propertyName="Baseline Fixed Cost" numFmtId="0" hierarchy="1" level="32767" memberPropertyField="1">
      <sharedItems containsSemiMixedTypes="0" containsString="0"/>
    </cacheField>
    <cacheField name="[Tasks].[Tasks].[Constraint Date]" caption="Constraint Date" propertyName="Constraint Date" numFmtId="0" hierarchy="1" level="32767" memberPropertyField="1">
      <sharedItems containsSemiMixedTypes="0" containsString="0"/>
    </cacheField>
    <cacheField name="[Tasks].[Tasks].[Created]" caption="Created" propertyName="Created" numFmtId="0" hierarchy="1" level="32767" memberPropertyField="1">
      <sharedItems containsSemiMixedTypes="0" containsString="0"/>
    </cacheField>
    <cacheField name="[Tasks].[Tasks].[Deadline]" caption="Deadline" propertyName="Deadline" numFmtId="0" hierarchy="1" level="32767" memberPropertyField="1">
      <sharedItems containsSemiMixedTypes="0" containsString="0"/>
    </cacheField>
    <cacheField name="[Tasks].[Tasks].[Duration Variance]" caption="Duration Variance" propertyName="Duration Variance" numFmtId="0" hierarchy="1" level="32767" memberPropertyField="1">
      <sharedItems containsSemiMixedTypes="0" containsString="0"/>
    </cacheField>
    <cacheField name="[Tasks].[Tasks].[Early Finish]" caption="Early Finish" propertyName="Early Finish" numFmtId="0" hierarchy="1" level="32767" memberPropertyField="1">
      <sharedItems containsSemiMixedTypes="0" containsString="0"/>
    </cacheField>
    <cacheField name="[Tasks].[Tasks].[Early Start]" caption="Early Start" propertyName="Early Start" numFmtId="0" hierarchy="1" level="32767" memberPropertyField="1">
      <sharedItems containsSemiMixedTypes="0" containsString="0"/>
    </cacheField>
    <cacheField name="[Tasks].[Tasks].[Finish Slack]" caption="Finish Slack" propertyName="Finish Slack" numFmtId="0" hierarchy="1" level="32767" memberPropertyField="1">
      <sharedItems containsSemiMixedTypes="0" containsString="0"/>
    </cacheField>
    <cacheField name="[Tasks].[Tasks].[Finish Variance]" caption="Finish Variance" propertyName="Finish Variance" numFmtId="0" hierarchy="1" level="32767" memberPropertyField="1">
      <sharedItems containsSemiMixedTypes="0" containsString="0"/>
    </cacheField>
    <cacheField name="[Tasks].[Tasks].[Free Slack]" caption="Free Slack" propertyName="Free Slack" numFmtId="0" hierarchy="1" level="32767" memberPropertyField="1">
      <sharedItems containsSemiMixedTypes="0" containsString="0"/>
    </cacheField>
    <cacheField name="[Tasks].[Tasks].[Late Finish]" caption="Late Finish" propertyName="Late Finish" numFmtId="0" hierarchy="1" level="32767" memberPropertyField="1">
      <sharedItems containsSemiMixedTypes="0" containsString="0"/>
    </cacheField>
    <cacheField name="[Tasks].[Tasks].[Late Start]" caption="Late Start" propertyName="Late Start" numFmtId="0" hierarchy="1" level="32767" memberPropertyField="1">
      <sharedItems containsSemiMixedTypes="0" containsString="0"/>
    </cacheField>
    <cacheField name="[Tasks].[Tasks].[Leveling Delay]" caption="Leveling Delay" propertyName="Leveling Delay" numFmtId="0" hierarchy="1" level="32767" memberPropertyField="1">
      <sharedItems containsSemiMixedTypes="0" containsString="0"/>
    </cacheField>
    <cacheField name="[Tasks].[Tasks].[Percent Complete]" caption="Percent Complete" propertyName="Percent Complete" numFmtId="0" hierarchy="1" level="32767" memberPropertyField="1">
      <sharedItems containsSemiMixedTypes="0" containsString="0"/>
    </cacheField>
    <cacheField name="[Tasks].[Tasks].[Percent Work Complete]" caption="Percent Work Complete" propertyName="Percent Work Complete" numFmtId="0" hierarchy="1" level="32767" memberPropertyField="1">
      <sharedItems containsSemiMixedTypes="0" containsString="0"/>
    </cacheField>
    <cacheField name="[Tasks].[Tasks].[Physical Percent Complete]" caption="Physical Percent Complete" propertyName="Physical Percent Complete" numFmtId="0" hierarchy="1" level="32767" memberPropertyField="1">
      <sharedItems containsSemiMixedTypes="0" containsString="0"/>
    </cacheField>
    <cacheField name="[Tasks].[Tasks].[Preleveled Finish]" caption="Preleveled Finish" propertyName="Preleveled Finish" numFmtId="0" hierarchy="1" level="32767" memberPropertyField="1">
      <sharedItems containsSemiMixedTypes="0" containsString="0"/>
    </cacheField>
    <cacheField name="[Tasks].[Tasks].[Preleveled Start]" caption="Preleveled Start" propertyName="Preleveled Start" numFmtId="0" hierarchy="1" level="32767" memberPropertyField="1">
      <sharedItems containsSemiMixedTypes="0" containsString="0"/>
    </cacheField>
    <cacheField name="[Tasks].[Tasks].[Priority]" caption="Priority" propertyName="Priority" numFmtId="0" hierarchy="1" level="32767" memberPropertyField="1">
      <sharedItems containsSemiMixedTypes="0" containsString="0"/>
    </cacheField>
    <cacheField name="[Tasks].[Tasks].[Remaining Duration]" caption="Remaining Duration" propertyName="Remaining Duration" numFmtId="0" hierarchy="1" level="32767" memberPropertyField="1">
      <sharedItems containsSemiMixedTypes="0" containsString="0"/>
    </cacheField>
    <cacheField name="[Tasks].[Tasks].[Scheduled Duration]" caption="Scheduled Duration" propertyName="Scheduled Duration" numFmtId="0" hierarchy="1" level="32767" memberPropertyField="1">
      <sharedItems containsSemiMixedTypes="0" containsString="0"/>
    </cacheField>
    <cacheField name="[Tasks].[Tasks].[Scheduled Finish]" caption="Scheduled Finish" propertyName="Scheduled Finish" numFmtId="0" hierarchy="1" level="32767" memberPropertyField="1">
      <sharedItems containsSemiMixedTypes="0" containsString="0"/>
    </cacheField>
    <cacheField name="[Tasks].[Tasks].[Scheduled Start]" caption="Scheduled Start" propertyName="Scheduled Start" numFmtId="0" hierarchy="1" level="32767" memberPropertyField="1">
      <sharedItems containsSemiMixedTypes="0" containsString="0"/>
    </cacheField>
    <cacheField name="[Tasks].[Tasks].[Start Slack]" caption="Start Slack" propertyName="Start Slack" numFmtId="0" hierarchy="1" level="32767" memberPropertyField="1">
      <sharedItems containsSemiMixedTypes="0" containsString="0"/>
    </cacheField>
    <cacheField name="[Tasks].[Tasks].[Start Variance]" caption="Start Variance" propertyName="Start Variance" numFmtId="0" hierarchy="1" level="32767" memberPropertyField="1">
      <sharedItems containsSemiMixedTypes="0" containsString="0"/>
    </cacheField>
    <cacheField name="[Tasks].[Tasks].[Stop]" caption="Stop" propertyName="Stop" numFmtId="0" hierarchy="1" level="32767" memberPropertyField="1">
      <sharedItems containsSemiMixedTypes="0" containsString="0"/>
    </cacheField>
    <cacheField name="[Tasks].[Tasks].[TaskID]" caption="TaskID" propertyName="TaskID" numFmtId="0" hierarchy="1" level="32767" memberPropertyField="1">
      <sharedItems containsSemiMixedTypes="0" containsString="0"/>
    </cacheField>
    <cacheField name="[Tasks].[Tasks].[Tasks]" caption="Tasks" propertyName="Tasks" numFmtId="0" hierarchy="1" level="32767" memberPropertyField="1">
      <sharedItems containsSemiMixedTypes="0" containsString="0"/>
    </cacheField>
    <cacheField name="[Tasks].[Tasks].[Total Slack]" caption="Total Slack" propertyName="Total Slack" numFmtId="0" hierarchy="1" level="32767" memberPropertyField="1">
      <sharedItems containsSemiMixedTypes="0" containsString="0"/>
    </cacheField>
    <cacheField name="[Tasks].[Tasks].[VAC]" caption="VAC" propertyName="VAC" numFmtId="0" hierarchy="1" level="32767" memberPropertyField="1">
      <sharedItems containsSemiMixedTypes="0" containsString="0"/>
    </cacheField>
    <cacheField name="[Tasks].[Tasks].[WBS]" caption="WBS" propertyName="WBS" numFmtId="0" hierarchy="1" level="32767" memberPropertyField="1">
      <sharedItems containsSemiMixedTypes="0" containsString="0"/>
    </cacheField>
    <cacheField name="[Time].[Monthly Calendar].[Year]" caption="Year" numFmtId="0" hierarchy="2" level="1">
      <sharedItems containsSemiMixedTypes="0" containsString="0"/>
    </cacheField>
    <cacheField name="[Time].[Monthly Calendar].[Month]" caption="Month" numFmtId="0" hierarchy="2" level="2">
      <sharedItems count="6">
        <s v="[Time].[Monthly Calendar].[Year].&amp;[2024].&amp;[4]" c="April"/>
        <s v="[Time].[Monthly Calendar].[Year].&amp;[2024].&amp;[5]" c="May"/>
        <s v="[Time].[Monthly Calendar].[Year].&amp;[2024].&amp;[6]" c="June"/>
        <s v="[Time].[Monthly Calendar].[Year].&amp;[2024].&amp;[7]" c="July"/>
        <s v="[Time].[Monthly Calendar].[Year].&amp;[2024].&amp;[8]" c="August"/>
        <s v="[Time].[Monthly Calendar].[Year].&amp;[2024].&amp;[9]" c="September"/>
      </sharedItems>
    </cacheField>
    <cacheField name="[Resources].[Resources].[Resources]" caption="Resources" numFmtId="0" level="1" mappingCount="19">
      <sharedItems count="9">
        <s v="[Resources].[Resources].[Resources].&amp;[{1AD07343-769B-F011-9A4D-90E868D17355}]" c="Project Manager" cp="19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Resources].[Resources].[Resources].&amp;[{8478CC52-769B-F011-9A4D-90E868D17355}]" c="Analyst" cp="19">
          <x/>
          <x/>
          <x/>
          <x/>
          <x/>
          <x/>
          <x/>
          <x/>
          <x v="1"/>
          <x/>
          <x v="1"/>
          <x/>
          <x v="1"/>
          <x/>
          <x v="1"/>
          <x/>
          <x v="1"/>
          <x/>
          <x v="1"/>
        </s>
        <s v="[Resources].[Resources].[Resources].&amp;[{48DEF0B1-7F9B-F011-9A4D-90E868D17355}]" c="Surveryor/Field" cp="19">
          <x/>
          <x/>
          <x/>
          <x/>
          <x/>
          <x/>
          <x/>
          <x/>
          <x v="2"/>
          <x/>
          <x v="2"/>
          <x/>
          <x v="2"/>
          <x/>
          <x v="1"/>
          <x/>
          <x v="2"/>
          <x/>
          <x v="2"/>
        </s>
        <s v="[Resources].[Resources].[Resources].&amp;[{7AD7E6BF-7F9B-F011-9A4D-90E868D17355}]" c="Dokumentation/PR" cp="19">
          <x/>
          <x/>
          <x/>
          <x/>
          <x/>
          <x/>
          <x/>
          <x/>
          <x v="2"/>
          <x/>
          <x v="3"/>
          <x/>
          <x v="3"/>
          <x/>
          <x v="1"/>
          <x/>
          <x v="2"/>
          <x/>
          <x v="2"/>
        </s>
        <s v="[Resources].[Resources].[Resources].&amp;[{4419ECC6-7F9B-F011-9A4D-90E868D17355}]" c="Network Engineer" cp="19">
          <x/>
          <x/>
          <x/>
          <x/>
          <x/>
          <x/>
          <x/>
          <x/>
          <x v="2"/>
          <x/>
          <x v="4"/>
          <x/>
          <x v="4"/>
          <x/>
          <x v="1"/>
          <x/>
          <x v="3"/>
          <x/>
          <x v="3"/>
        </s>
        <s v="[Resources].[Resources].[Resources].&amp;[{DA1FA9DC-7F9B-F011-9A4D-90E868D17355}]" c="System Architect" cp="19">
          <x/>
          <x/>
          <x/>
          <x/>
          <x/>
          <x/>
          <x/>
          <x/>
          <x v="3"/>
          <x/>
          <x v="5"/>
          <x/>
          <x v="2"/>
          <x/>
          <x v="1"/>
          <x/>
          <x v="3"/>
          <x/>
          <x v="3"/>
        </s>
        <s v="[Resources].[Resources].[Resources].&amp;[{DC1FA9DC-7F9B-F011-9A4D-90E868D17355}]" c="Technition" cp="19">
          <x/>
          <x/>
          <x/>
          <x/>
          <x/>
          <x/>
          <x/>
          <x/>
          <x v="3"/>
          <x/>
          <x v="6"/>
          <x/>
          <x v="5"/>
          <x/>
          <x/>
          <x/>
          <x v="2"/>
          <x/>
          <x v="2"/>
        </s>
        <s v="[Resources].[Resources].[Resources].&amp;[{F14DF8E9-7F9B-F011-9A4D-90E868D17355}]" c="Network Admin" cp="19">
          <x/>
          <x/>
          <x/>
          <x/>
          <x/>
          <x/>
          <x/>
          <x/>
          <x v="3"/>
          <x/>
          <x v="7"/>
          <x/>
          <x v="4"/>
          <x/>
          <x v="1"/>
          <x/>
          <x v="1"/>
          <x/>
          <x v="1"/>
        </s>
        <s v="[Resources].[Resources].[Resources].&amp;[{949348F1-7F9B-F011-9A4D-90E868D17355}]" c="QA/Tester" cp="19">
          <x/>
          <x/>
          <x/>
          <x/>
          <x/>
          <x/>
          <x/>
          <x/>
          <x v="4"/>
          <x/>
          <x v="8"/>
          <x/>
          <x v="6"/>
          <x/>
          <x v="1"/>
          <x/>
          <x v="1"/>
          <x/>
          <x v="1"/>
        </s>
      </sharedItems>
      <mpMap v="44"/>
      <mpMap v="45"/>
      <mpMap v="46"/>
      <mpMap v="47"/>
      <mpMap v="48"/>
      <mpMap v="49"/>
      <mpMap v="50"/>
      <mpMap v="51"/>
      <mpMap v="52"/>
      <mpMap v="53"/>
      <mpMap v="54"/>
      <mpMap v="55"/>
      <mpMap v="56"/>
      <mpMap v="57"/>
      <mpMap v="58"/>
      <mpMap v="59"/>
      <mpMap v="60"/>
      <mpMap v="61"/>
      <mpMap v="62"/>
    </cacheField>
    <cacheField name="[Resources].[Resources].[Resources].[Available From]" caption="Available From" propertyName="Available From" numFmtId="0" level="1" memberPropertyField="1">
      <sharedItems count="1">
        <s v=""/>
      </sharedItems>
    </cacheField>
    <cacheField name="[Resources].[Resources].[Resources].[Available To]" caption="Available To" propertyName="Available To" numFmtId="0" level="1" memberPropertyField="1">
      <sharedItems count="1">
        <s v=""/>
      </sharedItems>
    </cacheField>
    <cacheField name="[Resources].[Resources].[Resources].[Base Calendar]" caption="Base Calendar" propertyName="Base Calendar" numFmtId="0" level="1" memberPropertyField="1">
      <sharedItems count="1">
        <s v="calendarproject"/>
      </sharedItems>
    </cacheField>
    <cacheField name="[Resources].[Resources].[Resources].[Baseline Finish]" caption="Baseline Finish" propertyName="Baseline Finish" numFmtId="0" level="1" memberPropertyField="1">
      <sharedItems count="1">
        <s v=""/>
      </sharedItems>
    </cacheField>
    <cacheField name="[Resources].[Resources].[Resources].[Baseline Start]" caption="Baseline Start" propertyName="Baseline Start" numFmtId="0" level="1" memberPropertyField="1">
      <sharedItems count="1">
        <s v=""/>
      </sharedItems>
    </cacheField>
    <cacheField name="[Resources].[Resources].[Resources].[Code]" caption="Code" propertyName="Code" numFmtId="0" level="1" memberPropertyField="1">
      <sharedItems count="1">
        <s v=""/>
      </sharedItems>
    </cacheField>
    <cacheField name="[Resources].[Resources].[Resources].[Cost Center]" caption="Cost Center" propertyName="Cost Center" numFmtId="0" level="1" memberPropertyField="1">
      <sharedItems count="1">
        <s v=""/>
      </sharedItems>
    </cacheField>
    <cacheField name="[Resources].[Resources].[Resources].[Cost Per Use]" caption="Cost Per Use" propertyName="Cost Per Use" numFmtId="0" level="1" memberPropertyField="1">
      <sharedItems count="1">
        <s v=""/>
      </sharedItems>
    </cacheField>
    <cacheField name="[Resources].[Resources].[Resources].[Created]" caption="Created" propertyName="Created" numFmtId="0" level="1" memberPropertyField="1">
      <sharedItems count="5">
        <s v="9/27/2025 2:47:00 PM"/>
        <s v="9/27/2025 2:48:00 PM"/>
        <s v="9/27/2025 3:55:00 PM"/>
        <s v="9/27/2025 3:56:00 PM"/>
        <s v="9/27/2025 3:57:00 PM"/>
      </sharedItems>
    </cacheField>
    <cacheField name="[Resources].[Resources].[Resources].[Email Address]" caption="Email Address" propertyName="Email Address" numFmtId="0" level="1" memberPropertyField="1">
      <sharedItems count="1">
        <s v=""/>
      </sharedItems>
    </cacheField>
    <cacheField name="[Resources].[Resources].[Resources].[Finish]" caption="Finish" propertyName="Finish" numFmtId="0" level="1" memberPropertyField="1">
      <sharedItems count="9">
        <s v="9/20/2024 5:00:00 PM"/>
        <s v="4/19/2024 5:00:00 PM"/>
        <s v="4/15/2024 5:00:00 PM"/>
        <s v="8/28/2024 5:00:00 PM"/>
        <s v="5/13/2024 5:00:00 PM"/>
        <s v="5/15/2024 5:00:00 PM"/>
        <s v="8/9/2024 5:00:00 PM"/>
        <s v="9/4/2024 5:00:00 PM"/>
        <s v="8/14/2024 5:00:00 PM"/>
      </sharedItems>
    </cacheField>
    <cacheField name="[Resources].[Resources].[Resources].[Group]" caption="Group" propertyName="Group" numFmtId="0" level="1" memberPropertyField="1">
      <sharedItems count="1">
        <s v=""/>
      </sharedItems>
    </cacheField>
    <cacheField name="[Resources].[Resources].[Resources].[Initials]" caption="Initials" propertyName="Initials" numFmtId="0" level="1" memberPropertyField="1">
      <sharedItems count="7">
        <s v="P"/>
        <s v="A"/>
        <s v="S"/>
        <s v="D"/>
        <s v="N"/>
        <s v="T"/>
        <s v="Q"/>
      </sharedItems>
    </cacheField>
    <cacheField name="[Resources].[Resources].[Resources].[Material Label]" caption="Material Label" propertyName="Material Label" numFmtId="0" level="1" memberPropertyField="1">
      <sharedItems count="1">
        <s v=""/>
      </sharedItems>
    </cacheField>
    <cacheField name="[Resources].[Resources].[Resources].[Max Units]" caption="Max Units" propertyName="Max Units" numFmtId="0" level="1" memberPropertyField="1">
      <sharedItems count="2">
        <s v="200"/>
        <s v="100"/>
      </sharedItems>
    </cacheField>
    <cacheField name="[Resources].[Resources].[Resources].[NT Account]" caption="NT Account" propertyName="NT Account" numFmtId="0" level="1" memberPropertyField="1">
      <sharedItems count="1">
        <s v=""/>
      </sharedItems>
    </cacheField>
    <cacheField name="[Resources].[Resources].[Resources].[Overtime Rate]" caption="Overtime Rate" propertyName="Overtime Rate" numFmtId="0" level="1" memberPropertyField="1">
      <sharedItems count="4">
        <s v="750000"/>
        <s v="450000"/>
        <s v="375000"/>
        <s v="600000"/>
      </sharedItems>
    </cacheField>
    <cacheField name="[Resources].[Resources].[Resources].[Percent Work Complete]" caption="Percent Work Complete" propertyName="Percent Work Complete" numFmtId="0" level="1" memberPropertyField="1">
      <sharedItems count="1">
        <s v=""/>
      </sharedItems>
    </cacheField>
    <cacheField name="[Resources].[Resources].[Resources].[Standard Rate]" caption="Standard Rate" propertyName="Standard Rate" numFmtId="0" level="1" memberPropertyField="1">
      <sharedItems count="4">
        <s v="500000"/>
        <s v="300000"/>
        <s v="250000"/>
        <s v="400000"/>
      </sharedItems>
    </cacheField>
  </cacheFields>
  <cacheHierarchies count="84">
    <cacheHierarchy uniqueName="[Resources].[Resources]" caption="Resources" defaultMemberUniqueName="[Resources].[Resources].[All]" allUniqueName="[Resources].[Resources].[All]" dimensionUniqueName="[Resources]" displayFolder="" count="2" unbalanced="0">
      <fieldsUsage count="2">
        <fieldUsage x="-1"/>
        <fieldUsage x="43"/>
      </fieldsUsage>
    </cacheHierarchy>
    <cacheHierarchy uniqueName="[Tasks].[Tasks]" caption="Tasks" defaultMemberUniqueName="[Tasks].[Tasks].[All]" allUniqueName="[Tasks].[Tasks].[All]" dimensionUniqueName="[Tasks]" displayFolder="" count="4" unbalanced="1">
      <fieldsUsage count="4">
        <fieldUsage x="-1"/>
        <fieldUsage x="1"/>
        <fieldUsage x="2"/>
        <fieldUsage x="3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3" unbalanced="0">
      <fieldsUsage count="3">
        <fieldUsage x="-1"/>
        <fieldUsage x="41"/>
        <fieldUsage x="42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tual Cost]" caption="Actual Cost" measure="1" displayFolder="" measureGroup="Values" count="0"/>
    <cacheHierarchy uniqueName="[Measures].[Actual Overtime Work]" caption="Actual Overtime Work" measure="1" displayFolder="" measureGroup="Values" count="0"/>
    <cacheHierarchy uniqueName="[Measures].[Actual Work]" caption="Actual Work" measure="1" displayFolder="" measureGroup="Values" count="0"/>
    <cacheHierarchy uniqueName="[Measures].[Budget Cost]" caption="Budget Cost" measure="1" displayFolder="" measureGroup="Values" count="0"/>
    <cacheHierarchy uniqueName="[Measures].[Budget Work]" caption="Budget Work" measure="1" displayFolder="" measureGroup="Values" count="0"/>
    <cacheHierarchy uniqueName="[Measures].[Baseline Budget Cost]" caption="Baseline Budget Cost" measure="1" displayFolder="" measureGroup="Values" count="0"/>
    <cacheHierarchy uniqueName="[Measures].[Baseline Budget Work]" caption="Baseline Budget Work" measure="1" displayFolder="" measureGroup="Values" count="0"/>
    <cacheHierarchy uniqueName="[Measures].[Baseline Cost]" caption="Baseline Cost" measure="1" displayFolder="" measureGroup="Values" count="0"/>
    <cacheHierarchy uniqueName="[Measures].[Baseline Work]" caption="Baseline Work" measure="1" displayFolder="" measureGroup="Values" count="0"/>
    <cacheHierarchy uniqueName="[Measures].[Cost]" caption="Cost" measure="1" displayFolder="" measureGroup="Values" count="0" oneField="1">
      <fieldsUsage count="1">
        <fieldUsage x="0"/>
      </fieldsUsage>
    </cacheHierarchy>
    <cacheHierarchy uniqueName="[Measures].[Overtime Work]" caption="Overtime Work" measure="1" displayFolder="" measureGroup="Values" count="0"/>
    <cacheHierarchy uniqueName="[Measures].[Regular Work]" caption="Regular Work" measure="1" displayFolder="" measureGroup="Values" count="0"/>
    <cacheHierarchy uniqueName="[Measures].[Work]" caption="Work" measure="1" displayFolder="" measureGroup="Values" count="0"/>
    <cacheHierarchy uniqueName="[Measures].[Cumulative Cost]" caption="Cumulative Cost" measure="1" displayFolder="" count="0"/>
    <cacheHierarchy uniqueName="[Measures].[Cumulative Work]" caption="Cumulative Work" measure="1" displayFolder="" count="0"/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42804-8B8B-4573-B216-3CAA4B8F0A32}" name="PivotTable1" cacheId="0" applyNumberFormats="0" applyBorderFormats="0" applyFontFormats="0" applyPatternFormats="0" applyAlignmentFormats="0" applyWidthHeightFormats="1" dataCaption="Data" updatedVersion="7" minRefreshableVersion="3" useAutoFormatting="1" subtotalHiddenItems="1" itemPrintTitles="1" createdVersion="7" indent="0" compact="0" compactData="0" gridDropZones="1" chartFormat="25" fieldListSortAscending="1">
  <location ref="A4:C12" firstHeaderRow="2" firstDataRow="2" firstDataCol="2"/>
  <pivotFields count="43">
    <pivotField name="Cost" dataField="1" compact="0" outline="0" subtotalTop="0" showAll="0" includeNewItemsInFilter="1"/>
    <pivotField name="Task " axis="axisRow" compact="0" allDrilled="1" outline="0" subtotalTop="0" showAll="0" includeNewItemsInFilter="1" dataSourceSort="1">
      <items count="2">
        <item c="1" x="0"/>
        <item t="default"/>
      </items>
    </pivotField>
    <pivotField name="Task  1" axis="axisRow" compact="0" allDrilled="1" outline="0" subtotalTop="0" showAll="0" includeNewItemsInFilter="1" dataSourceSort="1">
      <items count="6">
        <item c="1" x="0"/>
        <item c="1" x="1"/>
        <item c="1" x="2"/>
        <item c="1" x="3"/>
        <item c="1" x="4"/>
        <item t="default"/>
      </items>
    </pivotField>
    <pivotField axis="axisRow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allDrilled="1" outline="0" subtotalTop="0" showAll="0" dataSourceSort="1" defaultSubtotal="0"/>
    <pivotField compact="0" outline="0" subtotalTop="0" showAll="0" dataSourceSort="1" defaultSubtotal="0"/>
  </pivotFields>
  <rowFields count="2">
    <field x="1"/>
    <field x="2"/>
  </rowFields>
  <rowItems count="7"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dataFields count="1">
    <dataField name=" RINGKASAN PER PHASE" fld="0" baseField="2" baseItem="0" numFmtId="42"/>
  </dataFields>
  <formats count="21">
    <format dxfId="42">
      <pivotArea outline="0" collapsedLevelsAreSubtotals="1" fieldPosition="0"/>
    </format>
    <format dxfId="41">
      <pivotArea outline="0" fieldPosition="0">
        <references count="1">
          <reference field="1" count="0" selected="0" defaultSubtotal="1"/>
        </references>
      </pivotArea>
    </format>
    <format dxfId="40">
      <pivotArea grandRow="1" outline="0" collapsedLevelsAreSubtotals="1" fieldPosition="0"/>
    </format>
    <format dxfId="39">
      <pivotArea type="all" dataOnly="0" outline="0" fieldPosition="0"/>
    </format>
    <format dxfId="38">
      <pivotArea type="origin" dataOnly="0" labelOnly="1" outline="0" fieldPosition="0"/>
    </format>
    <format dxfId="37">
      <pivotArea type="topRight" dataOnly="0" labelOnly="1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field="2" type="button" dataOnly="0" labelOnly="1" outline="0" axis="axisRow" fieldPosition="1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1" count="0" defaultSubtotal="1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type="origin" dataOnly="0" labelOnly="1" outline="0" offset="A1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field="2" type="button" dataOnly="0" labelOnly="1" outline="0" axis="axisRow" fieldPosition="1"/>
    </format>
    <format dxfId="25">
      <pivotArea dataOnly="0" labelOnly="1" outline="0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1" count="0" defaultSubtotal="1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2" count="0"/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includeNewItemsInFilter="1"/>
    <pivotHierarchy includeNewItemsInFilter="1">
      <mps count="37"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</mps>
    </pivotHierarchy>
    <pivotHierarchy>
      <members count="6" level="2">
        <member name="[Time].[Monthly Calendar].[Year].&amp;[2024].&amp;[4]"/>
        <member name="[Time].[Monthly Calendar].[Year].&amp;[2024].&amp;[5]"/>
        <member name="[Time].[Monthly Calendar].[Year].&amp;[2024].&amp;[6]"/>
        <member name="[Time].[Monthly Calendar].[Year].&amp;[2024].&amp;[7]"/>
        <member name="[Time].[Monthly Calendar].[Year].&amp;[2024].&amp;[8]"/>
        <member name="[Time].[Monthly Calendar].[Year].&amp;[2024].&amp;[9]"/>
      </members>
    </pivotHierarchy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 caption=" RINGKASAN PER PHASE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667F0-C7FC-483A-BC84-23210DE578F4}" name="PivotTable2" cacheId="1" applyNumberFormats="0" applyBorderFormats="0" applyFontFormats="0" applyPatternFormats="0" applyAlignmentFormats="0" applyWidthHeightFormats="1" dataCaption="Data" updatedVersion="7" minRefreshableVersion="3" useAutoFormatting="1" subtotalHiddenItems="1" itemPrintTitles="1" createdVersion="7" indent="0" compact="0" compactData="0" gridDropZones="1" chartFormat="29" fieldListSortAscending="1">
  <location ref="A23:C31" firstHeaderRow="2" firstDataRow="2" firstDataCol="2"/>
  <pivotFields count="43">
    <pivotField name="Cost" dataField="1" compact="0" outline="0" subtotalTop="0" showAll="0" includeNewItemsInFilter="1"/>
    <pivotField name="Task " compact="0" allDrilled="1" outline="0" subtotalTop="0" showAll="0" includeNewItemsInFilter="1" dataSourceSort="1">
      <items count="2">
        <item c="1" x="0"/>
        <item t="default"/>
      </items>
    </pivotField>
    <pivotField name="Task  1" compact="0" outline="0" subtotalTop="0" showAll="0" includeNewItemsInFilter="1" dataSourceSort="1">
      <items count="6">
        <item c="1" x="0"/>
        <item c="1" x="1"/>
        <item c="1" x="2"/>
        <item c="1" x="3"/>
        <item c="1" x="4"/>
        <item t="default"/>
      </items>
    </pivotField>
    <pivotField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allDrilled="1" outline="0" subtotalTop="0" showAll="0" dataSourceSort="1" defaultSubtotal="0">
      <items count="1">
        <item c="1" x="0"/>
      </items>
    </pivotField>
    <pivotField axis="axisRow" compact="0" allDrilled="1" outline="0" subtotalTop="0" showAll="0" dataSourceSort="1" defaultSubtotal="0">
      <items count="6">
        <item s="1" x="0"/>
        <item s="1" x="1"/>
        <item s="1" x="2"/>
        <item s="1" x="3"/>
        <item s="1" x="4"/>
        <item s="1" x="5"/>
      </items>
    </pivotField>
  </pivotFields>
  <rowFields count="2">
    <field x="41"/>
    <field x="42"/>
  </rowFields>
  <rowItems count="7">
    <i>
      <x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RINGKASAN PER BULAN" fld="0" baseField="42" baseItem="0" numFmtId="42"/>
  </dataFields>
  <formats count="31">
    <format dxfId="63">
      <pivotArea outline="0" collapsedLevelsAreSubtotals="1" fieldPosition="0"/>
    </format>
    <format dxfId="62">
      <pivotArea grandRow="1" outline="0" collapsedLevelsAreSubtotals="1" fieldPosition="0"/>
    </format>
    <format dxfId="61">
      <pivotArea type="all" dataOnly="0" outline="0" fieldPosition="0"/>
    </format>
    <format dxfId="60">
      <pivotArea type="origin" dataOnly="0" labelOnly="1" outline="0" fieldPosition="0"/>
    </format>
    <format dxfId="59">
      <pivotArea type="topRight" dataOnly="0" labelOnly="1" outline="0" fieldPosition="0"/>
    </format>
    <format dxfId="58">
      <pivotArea outline="0" collapsedLevelsAreSubtotals="1" fieldPosition="0"/>
    </format>
    <format dxfId="57">
      <pivotArea field="41" type="button" dataOnly="0" labelOnly="1" outline="0" axis="axisRow" fieldPosition="0"/>
    </format>
    <format dxfId="56">
      <pivotArea field="42" type="button" dataOnly="0" labelOnly="1" outline="0" axis="axisRow" fieldPosition="1"/>
    </format>
    <format dxfId="55">
      <pivotArea dataOnly="0" labelOnly="1" outline="0" fieldPosition="0">
        <references count="1">
          <reference field="41" count="0"/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" count="0"/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1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" count="0"/>
        </references>
      </pivotArea>
    </format>
    <format dxfId="48">
      <pivotArea dataOnly="0" labelOnly="1" outline="0" fieldPosition="0">
        <references count="1">
          <reference field="41" count="0"/>
        </references>
      </pivotArea>
    </format>
    <format dxfId="47">
      <pivotArea outline="0" fieldPosition="0">
        <references count="1">
          <reference field="42" count="0" selected="0"/>
        </references>
      </pivotArea>
    </format>
    <format dxfId="46">
      <pivotArea outline="0" collapsedLevelsAreSubtotals="1" fieldPosition="0"/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" count="0"/>
        </references>
      </pivotArea>
    </format>
    <format dxfId="43">
      <pivotArea type="origin" dataOnly="0" labelOnly="1" outline="0" offset="A1" fieldPosition="0"/>
    </format>
    <format dxfId="21">
      <pivotArea field="42" type="button" dataOnly="0" labelOnly="1" outline="0" axis="axisRow" fieldPosition="1"/>
    </format>
    <format dxfId="17">
      <pivotArea field="42" type="button" dataOnly="0" labelOnly="1" outline="0" axis="axisRow" fieldPosition="1"/>
    </format>
    <format dxfId="15">
      <pivotArea field="41" type="button" dataOnly="0" labelOnly="1" outline="0" axis="axisRow" fieldPosition="0"/>
    </format>
    <format dxfId="13">
      <pivotArea field="41" type="button" dataOnly="0" labelOnly="1" outline="0" axis="axisRow" fieldPosition="0"/>
    </format>
    <format dxfId="5">
      <pivotArea outline="0" collapsedLevelsAreSubtotals="1" fieldPosition="0"/>
    </format>
    <format dxfId="4">
      <pivotArea field="41" type="button" dataOnly="0" labelOnly="1" outline="0" axis="axisRow" fieldPosition="0"/>
    </format>
    <format dxfId="3">
      <pivotArea field="42" type="button" dataOnly="0" labelOnly="1" outline="0" axis="axisRow" fieldPosition="1"/>
    </format>
    <format dxfId="2">
      <pivotArea dataOnly="0" labelOnly="1" outline="0" fieldPosition="0">
        <references count="1">
          <reference field="4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41" count="1" selected="0">
              <x v="0"/>
            </reference>
            <reference field="42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3">
          <reference field="4294967294" count="1" selected="0">
            <x v="0"/>
          </reference>
          <reference field="41" count="1" selected="0">
            <x v="0"/>
          </reference>
          <reference field="42" count="1" selected="0">
            <x v="0"/>
          </reference>
        </references>
      </pivotArea>
    </chartFormat>
    <chartFormat chart="28" format="2">
      <pivotArea type="data" outline="0" fieldPosition="0">
        <references count="3">
          <reference field="4294967294" count="1" selected="0">
            <x v="0"/>
          </reference>
          <reference field="41" count="1" selected="0">
            <x v="0"/>
          </reference>
          <reference field="42" count="1" selected="0">
            <x v="1"/>
          </reference>
        </references>
      </pivotArea>
    </chartFormat>
    <chartFormat chart="28" format="3">
      <pivotArea type="data" outline="0" fieldPosition="0">
        <references count="3">
          <reference field="4294967294" count="1" selected="0">
            <x v="0"/>
          </reference>
          <reference field="41" count="1" selected="0">
            <x v="0"/>
          </reference>
          <reference field="42" count="1" selected="0">
            <x v="2"/>
          </reference>
        </references>
      </pivotArea>
    </chartFormat>
    <chartFormat chart="28" format="4">
      <pivotArea type="data" outline="0" fieldPosition="0">
        <references count="3">
          <reference field="4294967294" count="1" selected="0">
            <x v="0"/>
          </reference>
          <reference field="41" count="1" selected="0">
            <x v="0"/>
          </reference>
          <reference field="42" count="1" selected="0">
            <x v="3"/>
          </reference>
        </references>
      </pivotArea>
    </chartFormat>
    <chartFormat chart="28" format="5">
      <pivotArea type="data" outline="0" fieldPosition="0">
        <references count="3">
          <reference field="4294967294" count="1" selected="0">
            <x v="0"/>
          </reference>
          <reference field="41" count="1" selected="0">
            <x v="0"/>
          </reference>
          <reference field="42" count="1" selected="0">
            <x v="4"/>
          </reference>
        </references>
      </pivotArea>
    </chartFormat>
    <chartFormat chart="28" format="6">
      <pivotArea type="data" outline="0" fieldPosition="0">
        <references count="3">
          <reference field="4294967294" count="1" selected="0">
            <x v="0"/>
          </reference>
          <reference field="41" count="1" selected="0">
            <x v="0"/>
          </reference>
          <reference field="42" count="1" selected="0">
            <x v="5"/>
          </reference>
        </references>
      </pivotArea>
    </chartFormat>
  </chartFormats>
  <pivotHierarchies count="84">
    <pivotHierarchy includeNewItemsInFilter="1"/>
    <pivotHierarchy includeNewItemsInFilter="1">
      <mps count="37"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</mps>
    </pivotHierarchy>
    <pivotHierarchy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 caption="RINGKASAN PER BULAN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2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B19BC-1BC4-46F5-916D-7AB3978148CE}" name="PivotTable4" cacheId="2" applyNumberFormats="0" applyBorderFormats="0" applyFontFormats="0" applyPatternFormats="0" applyAlignmentFormats="0" applyWidthHeightFormats="1" dataCaption="Data" updatedVersion="7" minRefreshableVersion="3" useAutoFormatting="1" subtotalHiddenItems="1" itemPrintTitles="1" createdVersion="7" indent="0" compact="0" compactData="0" gridDropZones="1" chartFormat="26" fieldListSortAscending="1">
  <location ref="A39:B50" firstHeaderRow="2" firstDataRow="2" firstDataCol="1"/>
  <pivotFields count="63">
    <pivotField name="Cost" dataField="1" compact="0" outline="0" subtotalTop="0" showAll="0" includeNewItemsInFilter="1"/>
    <pivotField name="Task " compact="0" allDrilled="1" outline="0" subtotalTop="0" showAll="0" includeNewItemsInFilter="1" dataSourceSort="1">
      <items count="2">
        <item c="1" x="0"/>
        <item t="default"/>
      </items>
    </pivotField>
    <pivotField name="Task  1" compact="0" outline="0" subtotalTop="0" showAll="0" includeNewItemsInFilter="1" dataSourceSort="1">
      <items count="6">
        <item c="1" x="0"/>
        <item c="1" x="1"/>
        <item c="1" x="2"/>
        <item c="1" x="3"/>
        <item c="1" x="4"/>
        <item t="default"/>
      </items>
    </pivotField>
    <pivotField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allDrilled="1" outline="0" subtotalTop="0" showAll="0" dataSourceSort="1" defaultSubtotal="0"/>
    <pivotField compact="0" outline="0" subtotalTop="0" showAll="0" dataSourceSort="1" defaultSubtotal="0">
      <items count="6">
        <item s="1" x="0"/>
        <item s="1" x="1"/>
        <item s="1" x="2"/>
        <item s="1" x="3"/>
        <item s="1" x="4"/>
        <item s="1" x="5"/>
      </items>
    </pivotField>
    <pivotField axis="axisRow" compact="0" allDrilled="1" outline="0" subtotalTop="0" showAll="0" dataSourceSort="1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1">
    <field x="4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RINGKASAN PER RESOURCE" fld="0" baseField="43" baseItem="0" numFmtId="42"/>
  </dataFields>
  <formats count="16">
    <format dxfId="73">
      <pivotArea outline="0" collapsedLevelsAreSubtotals="1" fieldPosition="0"/>
    </format>
    <format dxfId="72">
      <pivotArea grandRow="1" outline="0" collapsedLevelsAreSubtotals="1" fieldPosition="0"/>
    </format>
    <format dxfId="71">
      <pivotArea type="all" dataOnly="0" outline="0" fieldPosition="0"/>
    </format>
    <format dxfId="70">
      <pivotArea type="origin" dataOnly="0" labelOnly="1" outline="0" fieldPosition="0"/>
    </format>
    <format dxfId="69">
      <pivotArea type="topRight" dataOnly="0" labelOnly="1" outline="0" fieldPosition="0"/>
    </format>
    <format dxfId="68">
      <pivotArea outline="0" collapsedLevelsAreSubtotals="1" fieldPosition="0"/>
    </format>
    <format dxfId="67">
      <pivotArea field="43" type="button" dataOnly="0" labelOnly="1" outline="0" axis="axisRow" fieldPosition="0"/>
    </format>
    <format dxfId="66">
      <pivotArea dataOnly="0" labelOnly="1" outline="0" fieldPosition="0">
        <references count="1">
          <reference field="43" count="0"/>
        </references>
      </pivotArea>
    </format>
    <format dxfId="65">
      <pivotArea dataOnly="0" labelOnly="1" grandRow="1" outline="0" fieldPosition="0"/>
    </format>
    <format dxfId="64">
      <pivotArea type="origin" dataOnly="0" labelOnly="1" outline="0" fieldPosition="0"/>
    </format>
    <format dxfId="11">
      <pivotArea field="43" type="button" dataOnly="0" labelOnly="1" outline="0" axis="axisRow" fieldPosition="0"/>
    </format>
    <format dxfId="10">
      <pivotArea field="43" type="button" dataOnly="0" labelOnly="1" outline="0" axis="axisRow" fieldPosition="0"/>
    </format>
    <format dxfId="9">
      <pivotArea outline="0" collapsedLevelsAreSubtotals="1" fieldPosition="0"/>
    </format>
    <format dxfId="8">
      <pivotArea field="43" type="button" dataOnly="0" labelOnly="1" outline="0" axis="axisRow" fieldPosition="0"/>
    </format>
    <format dxfId="7">
      <pivotArea dataOnly="0" labelOnly="1" outline="0" fieldPosition="0">
        <references count="1">
          <reference field="43" count="0"/>
        </references>
      </pivotArea>
    </format>
    <format dxfId="6">
      <pivotArea dataOnly="0" labelOnly="1" grandRow="1" outline="0" fieldPosition="0"/>
    </format>
  </formats>
  <conditionalFormats count="1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3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4">
    <pivotHierarchy includeNewItemsInFilter="1">
      <mps count="19"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</mps>
    </pivotHierarchy>
    <pivotHierarchy includeNewItemsInFilter="1">
      <mps count="37"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</mps>
    </pivotHierarchy>
    <pivotHierarchy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 caption="RINGKASAN PER RESOURCE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0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0707-3F65-44CC-8367-D2958D83C156}">
  <dimension ref="A1:R50"/>
  <sheetViews>
    <sheetView tabSelected="1" topLeftCell="A10" zoomScaleNormal="100" workbookViewId="0">
      <selection activeCell="L32" sqref="L32"/>
    </sheetView>
  </sheetViews>
  <sheetFormatPr defaultRowHeight="14.4" x14ac:dyDescent="0.3"/>
  <cols>
    <col min="1" max="1" width="25.33203125" bestFit="1" customWidth="1"/>
    <col min="2" max="2" width="20.44140625" customWidth="1"/>
    <col min="3" max="3" width="15" bestFit="1" customWidth="1"/>
    <col min="4" max="6" width="10.88671875" bestFit="1" customWidth="1"/>
    <col min="7" max="7" width="6.5546875" customWidth="1"/>
    <col min="8" max="8" width="21.6640625" customWidth="1"/>
    <col min="9" max="9" width="39.33203125" customWidth="1"/>
    <col min="10" max="10" width="17.88671875" customWidth="1"/>
  </cols>
  <sheetData>
    <row r="1" spans="1:18" x14ac:dyDescent="0.3"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">
      <c r="B2" s="9"/>
      <c r="C2" s="9"/>
      <c r="D2" s="9"/>
      <c r="E2" s="6" t="s">
        <v>30</v>
      </c>
      <c r="F2" s="7"/>
      <c r="G2" s="7"/>
      <c r="H2" s="7"/>
      <c r="I2" s="7"/>
      <c r="J2" s="8"/>
      <c r="K2" s="8"/>
      <c r="L2" s="8"/>
      <c r="M2" s="8"/>
      <c r="N2" s="8"/>
      <c r="O2" s="8"/>
    </row>
    <row r="4" spans="1:18" x14ac:dyDescent="0.3">
      <c r="A4" s="13" t="s">
        <v>31</v>
      </c>
      <c r="B4" s="5"/>
      <c r="C4" s="5"/>
    </row>
    <row r="5" spans="1:18" x14ac:dyDescent="0.3">
      <c r="A5" s="1" t="s">
        <v>0</v>
      </c>
      <c r="B5" s="1" t="s">
        <v>1</v>
      </c>
      <c r="C5" s="2" t="s">
        <v>29</v>
      </c>
      <c r="D5" s="18" t="s">
        <v>34</v>
      </c>
    </row>
    <row r="6" spans="1:18" x14ac:dyDescent="0.3">
      <c r="A6" s="2" t="s">
        <v>3</v>
      </c>
      <c r="B6" s="2" t="s">
        <v>4</v>
      </c>
      <c r="C6" s="3">
        <v>41600000</v>
      </c>
      <c r="D6" s="15">
        <f>GETPIVOTDATA("[Measures].[Cost]",$A$4,"[Tasks].[Tasks]","[Tasks].[Tasks].&amp;[{439E6492-829B-F011-9A4D-90E868D17355}]")/GETPIVOTDATA("[Measures].[Cost]",$A$4)</f>
        <v>0.12093023255813953</v>
      </c>
    </row>
    <row r="7" spans="1:18" x14ac:dyDescent="0.3">
      <c r="A7" s="2"/>
      <c r="B7" s="2" t="s">
        <v>6</v>
      </c>
      <c r="C7" s="3">
        <v>28800000</v>
      </c>
      <c r="D7" s="15">
        <f>GETPIVOTDATA("[Measures].[Cost]",$A$4,"[Tasks].[Tasks]","[Tasks].[Tasks].&amp;[{479E6492-829B-F011-9A4D-90E868D17355}]")/GETPIVOTDATA("[Measures].[Cost]",$A$4)</f>
        <v>8.3720930232558138E-2</v>
      </c>
    </row>
    <row r="8" spans="1:18" x14ac:dyDescent="0.3">
      <c r="A8" s="2"/>
      <c r="B8" s="2" t="s">
        <v>7</v>
      </c>
      <c r="C8" s="3">
        <v>150800000</v>
      </c>
      <c r="D8" s="15">
        <f>GETPIVOTDATA("[Measures].[Cost]",$A$4,"[Tasks].[Tasks]","[Tasks].[Tasks].&amp;[{519E6492-829B-F011-9A4D-90E868D17355}]")/GETPIVOTDATA("[Measures].[Cost]",$A$4)</f>
        <v>0.4383720930232558</v>
      </c>
    </row>
    <row r="9" spans="1:18" x14ac:dyDescent="0.3">
      <c r="A9" s="2"/>
      <c r="B9" s="2" t="s">
        <v>8</v>
      </c>
      <c r="C9" s="3">
        <v>40800000</v>
      </c>
      <c r="D9" s="15">
        <f>GETPIVOTDATA("[Measures].[Cost]",$A$4,"[Tasks].[Tasks]","[Tasks].[Tasks].&amp;[{529E6492-829B-F011-9A4D-90E868D17355}]")/GETPIVOTDATA("[Measures].[Cost]",$A$4)</f>
        <v>0.1186046511627907</v>
      </c>
    </row>
    <row r="10" spans="1:18" x14ac:dyDescent="0.3">
      <c r="A10" s="2"/>
      <c r="B10" s="2" t="s">
        <v>9</v>
      </c>
      <c r="C10" s="3">
        <v>82000000</v>
      </c>
      <c r="D10" s="15">
        <f>GETPIVOTDATA("[Measures].[Cost]",$A$4,"[Tasks].[Tasks]","[Tasks].[Tasks].&amp;[{579E6492-829B-F011-9A4D-90E868D17355}]")/GETPIVOTDATA("[Measures].[Cost]",$A$4)</f>
        <v>0.23837209302325582</v>
      </c>
    </row>
    <row r="11" spans="1:18" x14ac:dyDescent="0.3">
      <c r="A11" s="2" t="s">
        <v>10</v>
      </c>
      <c r="B11" s="2"/>
      <c r="C11" s="4">
        <v>344000000</v>
      </c>
      <c r="D11" s="15">
        <f>GETPIVOTDATA("[Measures].[Cost]",$A$4,"[Tasks].[Tasks]","[Tasks].[Tasks].&amp;[{429E6492-829B-F011-9A4D-90E868D17355}]")/GETPIVOTDATA("[Measures].[Cost]",$A$4)</f>
        <v>1</v>
      </c>
    </row>
    <row r="12" spans="1:18" x14ac:dyDescent="0.3">
      <c r="A12" s="2" t="s">
        <v>11</v>
      </c>
      <c r="B12" s="2"/>
      <c r="C12" s="4">
        <v>344000000</v>
      </c>
      <c r="D12" s="15">
        <f>GETPIVOTDATA("[Measures].[Cost]",$A$4)/GETPIVOTDATA("[Measures].[Cost]",$A$4)</f>
        <v>1</v>
      </c>
    </row>
    <row r="23" spans="1:4" x14ac:dyDescent="0.3">
      <c r="A23" s="13" t="s">
        <v>32</v>
      </c>
      <c r="B23" s="5"/>
      <c r="C23" s="5"/>
    </row>
    <row r="24" spans="1:4" x14ac:dyDescent="0.3">
      <c r="A24" s="17" t="s">
        <v>2</v>
      </c>
      <c r="B24" s="17" t="s">
        <v>12</v>
      </c>
      <c r="C24" s="16" t="s">
        <v>29</v>
      </c>
      <c r="D24" s="18" t="s">
        <v>34</v>
      </c>
    </row>
    <row r="25" spans="1:4" x14ac:dyDescent="0.3">
      <c r="A25" s="10" t="s">
        <v>5</v>
      </c>
      <c r="B25" s="10" t="s">
        <v>13</v>
      </c>
      <c r="C25" s="11">
        <v>54400000</v>
      </c>
      <c r="D25" s="15">
        <f>GETPIVOTDATA("[Measures].[Cost]",$A$23,"[Time].[Monthly Calendar]","[Time].[Monthly Calendar].[Year].&amp;[2024].&amp;[4]")/GETPIVOTDATA("[Measures].[Cost]",$A$23)</f>
        <v>0.15813953488372093</v>
      </c>
    </row>
    <row r="26" spans="1:4" x14ac:dyDescent="0.3">
      <c r="A26" s="10"/>
      <c r="B26" s="10" t="s">
        <v>14</v>
      </c>
      <c r="C26" s="11">
        <v>56800000</v>
      </c>
      <c r="D26" s="15">
        <f>GETPIVOTDATA("[Measures].[Cost]",$A$23,"[Time].[Monthly Calendar]","[Time].[Monthly Calendar].[Year].&amp;[2024].&amp;[5]")/GETPIVOTDATA("[Measures].[Cost]",$A$23)</f>
        <v>0.16511627906976745</v>
      </c>
    </row>
    <row r="27" spans="1:4" x14ac:dyDescent="0.3">
      <c r="A27" s="10"/>
      <c r="B27" s="10" t="s">
        <v>15</v>
      </c>
      <c r="C27" s="11">
        <v>44000000</v>
      </c>
      <c r="D27" s="15">
        <f>GETPIVOTDATA("[Measures].[Cost]",$A$23,"[Time].[Monthly Calendar]","[Time].[Monthly Calendar].[Year].&amp;[2024].&amp;[6]")/GETPIVOTDATA("[Measures].[Cost]",$A$23)</f>
        <v>0.12790697674418605</v>
      </c>
    </row>
    <row r="28" spans="1:4" x14ac:dyDescent="0.3">
      <c r="A28" s="10"/>
      <c r="B28" s="10" t="s">
        <v>16</v>
      </c>
      <c r="C28" s="11">
        <v>85200000</v>
      </c>
      <c r="D28" s="15">
        <f>GETPIVOTDATA("[Measures].[Cost]",$A$23,"[Time].[Monthly Calendar]","[Time].[Monthly Calendar].[Year].&amp;[2024].&amp;[7]")/GETPIVOTDATA("[Measures].[Cost]",$A$23)</f>
        <v>0.24767441860465117</v>
      </c>
    </row>
    <row r="29" spans="1:4" x14ac:dyDescent="0.3">
      <c r="A29" s="10"/>
      <c r="B29" s="10" t="s">
        <v>17</v>
      </c>
      <c r="C29" s="11">
        <v>48400000</v>
      </c>
      <c r="D29" s="15">
        <f>GETPIVOTDATA("[Measures].[Cost]",$A$23,"[Time].[Monthly Calendar]","[Time].[Monthly Calendar].[Year].&amp;[2024].&amp;[8]")/GETPIVOTDATA("[Measures].[Cost]",$A$23)</f>
        <v>0.14069767441860465</v>
      </c>
    </row>
    <row r="30" spans="1:4" x14ac:dyDescent="0.3">
      <c r="A30" s="10"/>
      <c r="B30" s="10" t="s">
        <v>18</v>
      </c>
      <c r="C30" s="11">
        <v>55200000</v>
      </c>
      <c r="D30" s="15">
        <f>GETPIVOTDATA("[Measures].[Cost]",$A$23,"[Time].[Monthly Calendar]","[Time].[Monthly Calendar].[Year].&amp;[2024].&amp;[9]")/GETPIVOTDATA("[Measures].[Cost]",$A$23)</f>
        <v>0.16046511627906976</v>
      </c>
    </row>
    <row r="31" spans="1:4" x14ac:dyDescent="0.3">
      <c r="A31" s="10" t="s">
        <v>11</v>
      </c>
      <c r="B31" s="10"/>
      <c r="C31" s="12">
        <v>344000000</v>
      </c>
      <c r="D31" s="15">
        <f>GETPIVOTDATA("[Measures].[Cost]",$A$23)/GETPIVOTDATA("[Measures].[Cost]",$A$23)</f>
        <v>1</v>
      </c>
    </row>
    <row r="39" spans="1:3" x14ac:dyDescent="0.3">
      <c r="A39" s="13" t="s">
        <v>33</v>
      </c>
      <c r="B39" s="5"/>
    </row>
    <row r="40" spans="1:3" x14ac:dyDescent="0.3">
      <c r="A40" s="17" t="s">
        <v>19</v>
      </c>
      <c r="B40" s="19" t="s">
        <v>29</v>
      </c>
      <c r="C40" s="18" t="s">
        <v>34</v>
      </c>
    </row>
    <row r="41" spans="1:3" x14ac:dyDescent="0.3">
      <c r="A41" s="2" t="s">
        <v>20</v>
      </c>
      <c r="B41" s="3">
        <v>76000000</v>
      </c>
      <c r="C41" s="15">
        <f>GETPIVOTDATA("[Measures].[Cost]",$A$39,"[Resources].[Resources]","[Resources].[Resources].[Resources].&amp;[{1AD07343-769B-F011-9A4D-90E868D17355}]")/GETPIVOTDATA("[Measures].[Cost]",$A$39)</f>
        <v>0.22093023255813954</v>
      </c>
    </row>
    <row r="42" spans="1:3" x14ac:dyDescent="0.3">
      <c r="A42" s="2" t="s">
        <v>21</v>
      </c>
      <c r="B42" s="3">
        <v>21600000</v>
      </c>
      <c r="C42" s="15">
        <f>GETPIVOTDATA("[Measures].[Cost]",$A$39,"[Resources].[Resources]","[Resources].[Resources].[Resources].&amp;[{8478CC52-769B-F011-9A4D-90E868D17355}]")/GETPIVOTDATA("[Measures].[Cost]",$A$39)</f>
        <v>6.2790697674418611E-2</v>
      </c>
    </row>
    <row r="43" spans="1:3" x14ac:dyDescent="0.3">
      <c r="A43" s="2" t="s">
        <v>22</v>
      </c>
      <c r="B43" s="3">
        <v>12000000</v>
      </c>
      <c r="C43" s="15">
        <f>GETPIVOTDATA("[Measures].[Cost]",$A$39,"[Resources].[Resources]","[Resources].[Resources].[Resources].&amp;[{48DEF0B1-7F9B-F011-9A4D-90E868D17355}]")/GETPIVOTDATA("[Measures].[Cost]",$A$39)</f>
        <v>3.4883720930232558E-2</v>
      </c>
    </row>
    <row r="44" spans="1:3" x14ac:dyDescent="0.3">
      <c r="A44" s="2" t="s">
        <v>23</v>
      </c>
      <c r="B44" s="3">
        <v>2000000</v>
      </c>
      <c r="C44" s="15">
        <f>GETPIVOTDATA("[Measures].[Cost]",$A$39,"[Resources].[Resources]","[Resources].[Resources].[Resources].&amp;[{7AD7E6BF-7F9B-F011-9A4D-90E868D17355}]")/GETPIVOTDATA("[Measures].[Cost]",$A$39)</f>
        <v>5.8139534883720929E-3</v>
      </c>
    </row>
    <row r="45" spans="1:3" x14ac:dyDescent="0.3">
      <c r="A45" s="2" t="s">
        <v>24</v>
      </c>
      <c r="B45" s="3">
        <v>19200000</v>
      </c>
      <c r="C45" s="15">
        <f>GETPIVOTDATA("[Measures].[Cost]",$A$39,"[Resources].[Resources]","[Resources].[Resources].[Resources].&amp;[{4419ECC6-7F9B-F011-9A4D-90E868D17355}]")/GETPIVOTDATA("[Measures].[Cost]",$A$39)</f>
        <v>5.5813953488372092E-2</v>
      </c>
    </row>
    <row r="46" spans="1:3" x14ac:dyDescent="0.3">
      <c r="A46" s="2" t="s">
        <v>25</v>
      </c>
      <c r="B46" s="3">
        <v>9600000</v>
      </c>
      <c r="C46" s="15">
        <f>GETPIVOTDATA("[Measures].[Cost]",$A$39,"[Resources].[Resources]","[Resources].[Resources].[Resources].&amp;[{DA1FA9DC-7F9B-F011-9A4D-90E868D17355}]")/GETPIVOTDATA("[Measures].[Cost]",$A$39)</f>
        <v>2.7906976744186046E-2</v>
      </c>
    </row>
    <row r="47" spans="1:3" x14ac:dyDescent="0.3">
      <c r="A47" s="2" t="s">
        <v>26</v>
      </c>
      <c r="B47" s="3">
        <v>86000000</v>
      </c>
      <c r="C47" s="15">
        <f>GETPIVOTDATA("[Measures].[Cost]",$A$39,"[Resources].[Resources]","[Resources].[Resources].[Resources].&amp;[{DC1FA9DC-7F9B-F011-9A4D-90E868D17355}]")/GETPIVOTDATA("[Measures].[Cost]",$A$39)</f>
        <v>0.25</v>
      </c>
    </row>
    <row r="48" spans="1:3" x14ac:dyDescent="0.3">
      <c r="A48" s="2" t="s">
        <v>27</v>
      </c>
      <c r="B48" s="3">
        <v>88800000</v>
      </c>
      <c r="C48" s="15">
        <f>GETPIVOTDATA("[Measures].[Cost]",$A$39,"[Resources].[Resources]","[Resources].[Resources].[Resources].&amp;[{F14DF8E9-7F9B-F011-9A4D-90E868D17355}]")/GETPIVOTDATA("[Measures].[Cost]",$A$39)</f>
        <v>0.25813953488372093</v>
      </c>
    </row>
    <row r="49" spans="1:3" x14ac:dyDescent="0.3">
      <c r="A49" s="2" t="s">
        <v>28</v>
      </c>
      <c r="B49" s="3">
        <v>28800000</v>
      </c>
      <c r="C49" s="15">
        <f>GETPIVOTDATA("[Measures].[Cost]",$A$39,"[Resources].[Resources]","[Resources].[Resources].[Resources].&amp;[{949348F1-7F9B-F011-9A4D-90E868D17355}]")/GETPIVOTDATA("[Measures].[Cost]",$A$39)</f>
        <v>8.3720930232558138E-2</v>
      </c>
    </row>
    <row r="50" spans="1:3" x14ac:dyDescent="0.3">
      <c r="A50" s="2" t="s">
        <v>11</v>
      </c>
      <c r="B50" s="4">
        <v>344000000</v>
      </c>
      <c r="C50" s="15">
        <f>GETPIVOTDATA("[Measures].[Cost]",$A$39)/GETPIVOTDATA("[Measures].[Cost]",$A$39)</f>
        <v>1</v>
      </c>
    </row>
  </sheetData>
  <mergeCells count="1">
    <mergeCell ref="H1:R1"/>
  </mergeCells>
  <conditionalFormatting pivot="1" sqref="B41:B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{89F54494-27DB-4F2E-848C-AB8C439D3E03}</x14:id>
        </ext>
      </extLst>
    </cfRule>
  </conditionalFormatting>
  <conditionalFormatting pivot="1" sqref="C6:C1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{CA17C572-9CAB-464E-8A68-873340981381}</x14:id>
        </ext>
      </extLst>
    </cfRule>
  </conditionalFormatting>
  <conditionalFormatting pivot="1" sqref="C25:C3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{CDF79A97-96F2-4E44-897E-B14AFF1EE9CE}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9F54494-27DB-4F2E-848C-AB8C439D3E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B41:B49</xm:sqref>
        </x14:conditionalFormatting>
        <x14:conditionalFormatting xmlns:xm="http://schemas.microsoft.com/office/excel/2006/main" pivot="1">
          <x14:cfRule type="dataBar" id="{CA17C572-9CAB-464E-8A68-8733409813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C6:C10</xm:sqref>
        </x14:conditionalFormatting>
        <x14:conditionalFormatting xmlns:xm="http://schemas.microsoft.com/office/excel/2006/main" pivot="1">
          <x14:cfRule type="dataBar" id="{CDF79A97-96F2-4E44-897E-B14AFF1EE9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C25:C30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zeeeinz</dc:creator>
  <cp:lastModifiedBy>! zeeeinz</cp:lastModifiedBy>
  <dcterms:created xsi:type="dcterms:W3CDTF">2025-10-01T15:16:01Z</dcterms:created>
  <dcterms:modified xsi:type="dcterms:W3CDTF">2025-10-02T06:06:19Z</dcterms:modified>
</cp:coreProperties>
</file>